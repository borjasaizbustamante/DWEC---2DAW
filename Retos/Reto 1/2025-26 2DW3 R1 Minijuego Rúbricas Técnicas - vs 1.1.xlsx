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Modulos\DWEC - 2DAW\DWEC - 2DAW\Retos\Reto 1\"/>
    </mc:Choice>
  </mc:AlternateContent>
  <xr:revisionPtr revIDLastSave="0" documentId="13_ncr:1_{600E3591-9D49-4EA2-9D1E-E0306D1D41C0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Portada" sheetId="3" r:id="rId1"/>
    <sheet name="DIW" sheetId="1" r:id="rId2"/>
    <sheet name="DWEC" sheetId="2" r:id="rId3"/>
    <sheet name="Nota Transversales" sheetId="5" r:id="rId4"/>
    <sheet name="Técnicas Nota" sheetId="4" r:id="rId5"/>
  </sheets>
  <calcPr calcId="191029"/>
</workbook>
</file>

<file path=xl/calcChain.xml><?xml version="1.0" encoding="utf-8"?>
<calcChain xmlns="http://schemas.openxmlformats.org/spreadsheetml/2006/main">
  <c r="C12" i="5" l="1"/>
  <c r="C13" i="5"/>
  <c r="C14" i="5"/>
  <c r="C11" i="5"/>
  <c r="O15" i="5"/>
  <c r="L15" i="5"/>
  <c r="M15" i="5" s="1"/>
  <c r="G15" i="5"/>
  <c r="H15" i="5" s="1"/>
  <c r="O14" i="5"/>
  <c r="L14" i="5"/>
  <c r="M14" i="5" s="1"/>
  <c r="G14" i="5"/>
  <c r="H14" i="5" s="1"/>
  <c r="O13" i="5"/>
  <c r="L13" i="5"/>
  <c r="M13" i="5" s="1"/>
  <c r="G13" i="5"/>
  <c r="H13" i="5" s="1"/>
  <c r="O12" i="5"/>
  <c r="L12" i="5"/>
  <c r="M12" i="5" s="1"/>
  <c r="G12" i="5"/>
  <c r="H12" i="5" s="1"/>
  <c r="O11" i="5"/>
  <c r="L11" i="5"/>
  <c r="M11" i="5" s="1"/>
  <c r="G11" i="5"/>
  <c r="H11" i="5" s="1"/>
  <c r="I47" i="2"/>
  <c r="I26" i="1"/>
  <c r="I17" i="1"/>
  <c r="I18" i="1"/>
  <c r="I19" i="1"/>
  <c r="I20" i="1"/>
  <c r="I21" i="1"/>
  <c r="I22" i="1"/>
  <c r="I23" i="1"/>
  <c r="I24" i="1"/>
  <c r="I25" i="1"/>
  <c r="I16" i="1"/>
  <c r="I7" i="1"/>
  <c r="I8" i="1"/>
  <c r="I6" i="1"/>
  <c r="I9" i="2"/>
  <c r="I10" i="2"/>
  <c r="I11" i="2"/>
  <c r="I12" i="2"/>
  <c r="I13" i="2"/>
  <c r="I15" i="2"/>
  <c r="I16" i="2"/>
  <c r="I17" i="2"/>
  <c r="I19" i="2"/>
  <c r="I21" i="2"/>
  <c r="I22" i="2"/>
  <c r="I23" i="2"/>
  <c r="I25" i="2"/>
  <c r="I26" i="2"/>
  <c r="I27" i="2"/>
  <c r="I29" i="2"/>
  <c r="I30" i="2"/>
  <c r="I32" i="2"/>
  <c r="I33" i="2"/>
  <c r="I35" i="2"/>
  <c r="I36" i="2"/>
  <c r="I37" i="2"/>
  <c r="I38" i="2"/>
  <c r="I40" i="2"/>
  <c r="I41" i="2"/>
  <c r="I42" i="2"/>
  <c r="I44" i="2"/>
  <c r="I45" i="2"/>
  <c r="I46" i="2"/>
  <c r="I7" i="2"/>
  <c r="I18" i="4"/>
  <c r="K10" i="4"/>
  <c r="F10" i="4"/>
  <c r="K5" i="4"/>
  <c r="F5" i="4"/>
  <c r="C7" i="4"/>
  <c r="C8" i="4"/>
  <c r="C9" i="4"/>
  <c r="C10" i="4"/>
  <c r="B8" i="4"/>
  <c r="B9" i="4"/>
  <c r="B10" i="4"/>
  <c r="B7" i="4"/>
  <c r="G9" i="1"/>
  <c r="G47" i="2"/>
  <c r="G26" i="1"/>
  <c r="P11" i="5" l="1"/>
  <c r="P15" i="5"/>
  <c r="P14" i="5"/>
  <c r="P13" i="5"/>
  <c r="P12" i="5"/>
  <c r="I9" i="1"/>
  <c r="L7" i="4" l="1"/>
  <c r="N7" i="4" s="1"/>
  <c r="G12" i="4"/>
  <c r="I12" i="4" s="1"/>
  <c r="L12" i="4"/>
  <c r="N12" i="4" s="1"/>
  <c r="G7" i="4"/>
  <c r="I7" i="4" s="1"/>
  <c r="G8" i="4"/>
  <c r="I8" i="4" s="1"/>
  <c r="L8" i="4"/>
  <c r="N8" i="4" s="1"/>
  <c r="G13" i="4"/>
  <c r="I13" i="4" s="1"/>
  <c r="L13" i="4"/>
  <c r="N13" i="4" s="1"/>
</calcChain>
</file>

<file path=xl/sharedStrings.xml><?xml version="1.0" encoding="utf-8"?>
<sst xmlns="http://schemas.openxmlformats.org/spreadsheetml/2006/main" count="311" uniqueCount="200">
  <si>
    <t>FASE 2</t>
  </si>
  <si>
    <t>FASE 1</t>
  </si>
  <si>
    <t>PESO</t>
  </si>
  <si>
    <t>DISEÑO Y PLANIFICACIÓN</t>
  </si>
  <si>
    <t>DESARROLLO Y DEPURACIÓN</t>
  </si>
  <si>
    <t>Variables</t>
  </si>
  <si>
    <t>Descripción de la idea</t>
  </si>
  <si>
    <t>No explica o explica muy mal la idea que tiene del proyecto.</t>
  </si>
  <si>
    <t>Explica aunque con poco detalle y/o lo explicado no se ajusta a lo que se pide.</t>
  </si>
  <si>
    <t>Explica con bastante detalle y lo explicado se ajusta a lo que se pide.</t>
  </si>
  <si>
    <t>Explica con total detalle y además se ajusta a lo que se pedía.</t>
  </si>
  <si>
    <t>Definición de variables</t>
  </si>
  <si>
    <t>Cantidad wireframes</t>
  </si>
  <si>
    <t>La mayoría de las variables no tienen un nombre descriptivo, no se respetan las reglas nominales o no están definidas del tipo adecuado (const, let, var) o en el ámbito correcto (local, global).</t>
  </si>
  <si>
    <t>Tres o más variables no tienen un nombre descriptivo, no se respetan las reglas nominales o no están definidas del tipo adecuado (const, let, var) o en el ámbito correcto (local, global).</t>
  </si>
  <si>
    <t>Aporta menos de 4 wireframes.</t>
  </si>
  <si>
    <t>Una o dos variables no tienen un nombre descriptivo, no se respetan las reglas nominales o no están definidas del tipo adecuado (const, let, var) o en el ámbito correcto (local, global).</t>
  </si>
  <si>
    <t>Aporta entre 4 y 5 wireframes</t>
  </si>
  <si>
    <t>Aporta entre 6 y 7 wireframes</t>
  </si>
  <si>
    <t>Aporta 8 o más wireframes.</t>
  </si>
  <si>
    <t>Todas las variables tienen un nombre descriptivo, se respetan las reglas nominales y están definidas del tipo adecuado (const, let, var) y en el ámbito correcto (local, global).</t>
  </si>
  <si>
    <t>Estr. condicionales y repetitivas</t>
  </si>
  <si>
    <t>Calidad de wireframes</t>
  </si>
  <si>
    <t>Los wireframes no muestran todos los elementos que necesita la página, no muestra nada de homogeneidad y no reflejan una correcta gestión de espacios vacíos.</t>
  </si>
  <si>
    <t>Los wireframes muestran todos los elementos que necesita la página pero no muestra nada de homogeneidad o no reflejan una correcta gestión de espacios vacíos.</t>
  </si>
  <si>
    <t>Los wireframes no muestran todos los elementos que necesita la página o no muestra nada de homogeneidad o no reflejan una correcta gestión de espacios vacíos. Una de los aspectos mal pero los otros dos bien.</t>
  </si>
  <si>
    <t>Los wireframes muestran todos los elementos que necesita la página, se respeta una homogeneidad y  reflejan una correcta gestión de espacios vacíos.</t>
  </si>
  <si>
    <t>if / if...else / if... else if</t>
  </si>
  <si>
    <t>No se usa.</t>
  </si>
  <si>
    <t>Se usa.</t>
  </si>
  <si>
    <t>switch () {case...</t>
  </si>
  <si>
    <t>for</t>
  </si>
  <si>
    <t>while / do...while</t>
  </si>
  <si>
    <t>forEach</t>
  </si>
  <si>
    <t>Funciones</t>
  </si>
  <si>
    <t>Número funciones</t>
  </si>
  <si>
    <t>Se usan 1 o menos.</t>
  </si>
  <si>
    <t>Se usan 2 o 3.</t>
  </si>
  <si>
    <t>Se usan 4 o 5.</t>
  </si>
  <si>
    <t>Se usan más de 5.</t>
  </si>
  <si>
    <t>Definición de funciones</t>
  </si>
  <si>
    <t>La mayoría de las funciones no tienen un nombre descriptivo ni respetan las reglas nominales.</t>
  </si>
  <si>
    <t>Dos o más funciones no tienen un nombre descriptivo ni respetan las reglas nominales.</t>
  </si>
  <si>
    <t>Una sola función no tiene un nombre descriptivo ni respeta las reglas nominales.</t>
  </si>
  <si>
    <t>Todas las funciones tienen un nombre descriptivo y respetan las reglas nominales.</t>
  </si>
  <si>
    <t>Errores en funciones</t>
  </si>
  <si>
    <t>No presenta errores</t>
  </si>
  <si>
    <t>Presenta un error</t>
  </si>
  <si>
    <t>Presenta dos errores</t>
  </si>
  <si>
    <t>Presenta tres o más errores</t>
  </si>
  <si>
    <t>Objetos predefinidos</t>
  </si>
  <si>
    <t>Homogeneidad y equilibrio</t>
  </si>
  <si>
    <t>El sitio web no muestra una homogeneidad entres sus páginas ni un equilibrio entre sus elementos.</t>
  </si>
  <si>
    <t>Muestra poca homogeneidad y equilibrio.</t>
  </si>
  <si>
    <t>Muestra bastante homogeneidad y equilibrio.</t>
  </si>
  <si>
    <t>El sitio web muestra una homogeneidad entres sus páginas y un equilibrio entre sus elementos.</t>
  </si>
  <si>
    <t>Date / Math / Number / String / Window</t>
  </si>
  <si>
    <t>No utiliza objetos predefinidos ni sus propiedades y métodos</t>
  </si>
  <si>
    <t>Utiliza objetos predefinidos y sus propiedades y métodos una vez sin errores o de dos tipos pero comete errores al hacerlo.</t>
  </si>
  <si>
    <t>Utiliza objetos predefinidos y sus propiedades y métodos en dos ocasiones (tipos distintos) sin errores o al menos de tres tipos pero comete errores al hacerlo.</t>
  </si>
  <si>
    <t>Utiliza objetos predefinidos y sus propiedades y métodos al menos de tres tipos sin errores.</t>
  </si>
  <si>
    <t>Color</t>
  </si>
  <si>
    <t>No se usa una combinación de colores adecuada.</t>
  </si>
  <si>
    <t>La combinación de colores es muy mejorable.</t>
  </si>
  <si>
    <t>La combinación de colores es bastante buena.</t>
  </si>
  <si>
    <t>La combinación de colores es excelente.</t>
  </si>
  <si>
    <t>Tipografía</t>
  </si>
  <si>
    <t xml:space="preserve">No se utilizan unas tipografías adecuadas, no existe armonía entre ellas y además no se juega con tamaños y grosores. </t>
  </si>
  <si>
    <t xml:space="preserve">Se utilizan unas tipografías legibles, pero no existe armonía entre ellas y además no se juega con tamaños y grosores. </t>
  </si>
  <si>
    <t xml:space="preserve">Se utilizan unas tipografías legibles, pero no existe armonía entre ellas o no se juega con tamaños y grosores. </t>
  </si>
  <si>
    <t xml:space="preserve">Se utilizan unas tipografías legibles, existe armonía entre ellas y además se juega con tamaños y grosores. </t>
  </si>
  <si>
    <t>Arrays</t>
  </si>
  <si>
    <t>Iconografía</t>
  </si>
  <si>
    <t>Se usa pero muy poco o se abusa de ella y no es del todo comprensible.</t>
  </si>
  <si>
    <t>Se usa pero muy poco o se abusa de ella o no es del todo comprensible.</t>
  </si>
  <si>
    <t>Se usa en su justa medida y además es muy intuitiva y comprensible.</t>
  </si>
  <si>
    <t>Uso de array</t>
  </si>
  <si>
    <t>No usa arrays</t>
  </si>
  <si>
    <t>Usa con sentido una sola vez arrays</t>
  </si>
  <si>
    <t>Usa con sentido dos veces arrays</t>
  </si>
  <si>
    <t>Usa con sentido más de dos veces arrays</t>
  </si>
  <si>
    <t>Cabecera</t>
  </si>
  <si>
    <t>Propiedades y métodos</t>
  </si>
  <si>
    <t>No usa propiedades ni métodos</t>
  </si>
  <si>
    <t>Utiliza un solo método o propiedad distinta</t>
  </si>
  <si>
    <t>Usa dos métodos o propiedades distintas</t>
  </si>
  <si>
    <t>Usa tres o más métodos o propiedades distintas</t>
  </si>
  <si>
    <t>Sistema de navegación</t>
  </si>
  <si>
    <t>No es adecuado o es inexistente.</t>
  </si>
  <si>
    <t>Errores en arrays</t>
  </si>
  <si>
    <t>No es del todo adecuado, siendo poco intuitivo o presentando fallos.</t>
  </si>
  <si>
    <t>Presenta algún fallo pero es intuitivo.</t>
  </si>
  <si>
    <t>No presenta ningún fallo y es muy intuitivo.</t>
  </si>
  <si>
    <t>Objetos</t>
  </si>
  <si>
    <t>Pié de página</t>
  </si>
  <si>
    <t>Propiedades de objeto</t>
  </si>
  <si>
    <t>No se definen y usan</t>
  </si>
  <si>
    <t>Se define y se usa una</t>
  </si>
  <si>
    <t>Se definen y se usan dos</t>
  </si>
  <si>
    <t>Se definen y se usan tres o más.</t>
  </si>
  <si>
    <t>Estilos</t>
  </si>
  <si>
    <t>No se aplica lo aprendido en esta evaluación respecto a las hojas de estilos.</t>
  </si>
  <si>
    <t>Se aplica algo de lo aprendido respecto a hojas de estilos pero no presenta un estilo atractivo y funcional.</t>
  </si>
  <si>
    <t>Se aplica bastante de lo aprendido, el sitio web es bastante atractivo y funcional, pero presenta algún error o no se aplica todo de la manera adecuada.</t>
  </si>
  <si>
    <t>Se aplica mucho de lo aprendido, el sitio web es muy atractivo y funcional. Además todo lo aplicado se aplica de la manera adecuada y sin errores.</t>
  </si>
  <si>
    <t>Métodos de objeto</t>
  </si>
  <si>
    <t>Responsive / adaptative</t>
  </si>
  <si>
    <t>No existe un diseño responsive o adaptativo</t>
  </si>
  <si>
    <t>Existe un diseño responsivo o adaptativo pero no es correcto ya que presenta muchos errores y su diseño no es el correcto.</t>
  </si>
  <si>
    <t>Existe un diseño responsivo o adaptativo pero no es del todo correcto ya que presenta unos pocos errores y su diseño no es del todo correcto.</t>
  </si>
  <si>
    <t>Existe un diseño responsivo o adaptativo que no presenta errores y su diseño es excelente.</t>
  </si>
  <si>
    <t>Indentación y limpieza del código</t>
  </si>
  <si>
    <t>El código no está indentado, está desordenado y no está limpio.</t>
  </si>
  <si>
    <t>Errores en objetos</t>
  </si>
  <si>
    <t>El código está indentado, está ordenado y está limpio y con comentarios que aportan información sobre el código.</t>
  </si>
  <si>
    <t>Eventos</t>
  </si>
  <si>
    <t>Gestión de eventos</t>
  </si>
  <si>
    <t>No se usan eventos</t>
  </si>
  <si>
    <t>Se captura un evento</t>
  </si>
  <si>
    <t>Se capturan dos eventos</t>
  </si>
  <si>
    <t>Se capturan tres o más eventos</t>
  </si>
  <si>
    <t>Errores eventos</t>
  </si>
  <si>
    <t>Formulario</t>
  </si>
  <si>
    <t>Uso formularios</t>
  </si>
  <si>
    <t>No se usan formularios</t>
  </si>
  <si>
    <t>Se usan formularios</t>
  </si>
  <si>
    <t>Errores formularios</t>
  </si>
  <si>
    <t>FASE 4</t>
  </si>
  <si>
    <t>Web Storage</t>
  </si>
  <si>
    <t>Uso sessionStorage</t>
  </si>
  <si>
    <t>No utiliza o utiliza sin sentido</t>
  </si>
  <si>
    <t>Utiliza con sentido</t>
  </si>
  <si>
    <t>Errores sessionStorage</t>
  </si>
  <si>
    <t>DEFENSA</t>
  </si>
  <si>
    <t>Uso localStorage</t>
  </si>
  <si>
    <t>% sobre   el total de la fase 2</t>
  </si>
  <si>
    <t>Análisis de código y respuesta de cuestiones sobre el mismo</t>
  </si>
  <si>
    <t>No conoce el código, no sabe responder a ninguna de las cuestiones que se le plantean sobre éste y no conoce el funcionamiento de parte inportante de su proyecto.</t>
  </si>
  <si>
    <t>Conoce el código en su gran mayoría pero no sabe responder a bastantes cuestiones sobre el mismo ni sabe justificar su uso o funcionamiento.</t>
  </si>
  <si>
    <t>Errores localStorage</t>
  </si>
  <si>
    <t>Conoce el código en su totalidad pero no sabe responder a algunas de las cuestiones sobre éste ni justificar su uso.</t>
  </si>
  <si>
    <t>Conoce el código en su totalidad y además sabe responder perfectamente todas las cuestiones y justifica por qué lo usó en cada caso.</t>
  </si>
  <si>
    <t>DOM</t>
  </si>
  <si>
    <t>Modificación DOM</t>
  </si>
  <si>
    <t>Evaluación individual</t>
  </si>
  <si>
    <t>Creación dinámica</t>
  </si>
  <si>
    <t>Errores DOM</t>
  </si>
  <si>
    <t>Ostros aspectos</t>
  </si>
  <si>
    <t>Complejidad minijuego</t>
  </si>
  <si>
    <t>Orden proyecto</t>
  </si>
  <si>
    <t>El proyecto no está ordenado en carpetas correctamente</t>
  </si>
  <si>
    <t>El proyecto está ordenado en carpetas correctamente</t>
  </si>
  <si>
    <t>FASE 3</t>
  </si>
  <si>
    <t>% sobre el total de la fase 2.</t>
  </si>
  <si>
    <t>Fecha límite de entrega el jueves XX/XX/XXXX a las XX:XX mediante el Classroom</t>
  </si>
  <si>
    <t>Fecha límite de entrega el miércoles XX/XX/XXXX a las XX:XX mediante GitHub</t>
  </si>
  <si>
    <t>Durante las tres últimas horas del jueves XX/XX/XXXX</t>
  </si>
  <si>
    <t>Fecha límite de entrega el miércoles XX/XX/XXXX mediante GitHub</t>
  </si>
  <si>
    <t>Durante la tres últimas horas del jueves XX/XX/XXXX</t>
  </si>
  <si>
    <t>RUBRICAS</t>
  </si>
  <si>
    <t>RETO 1</t>
  </si>
  <si>
    <t>Fechas</t>
  </si>
  <si>
    <t>XX/XX/2026</t>
  </si>
  <si>
    <t>GRUPO</t>
  </si>
  <si>
    <t>ALUMNOS</t>
  </si>
  <si>
    <t>26/27</t>
  </si>
  <si>
    <t>MODULO</t>
  </si>
  <si>
    <t>NOTA TECNICAS</t>
  </si>
  <si>
    <t>DIW</t>
  </si>
  <si>
    <t>NOTA GRUPO</t>
  </si>
  <si>
    <t>DWEC</t>
  </si>
  <si>
    <t>RETO 1 - Notas Tecnicas</t>
  </si>
  <si>
    <t>Name</t>
  </si>
  <si>
    <t>-</t>
  </si>
  <si>
    <t>NOTA</t>
  </si>
  <si>
    <t>Variación</t>
  </si>
  <si>
    <t>Alumno 10 (Pruebas)</t>
  </si>
  <si>
    <t>¿¿??</t>
  </si>
  <si>
    <t>2 DAW</t>
  </si>
  <si>
    <t>CORRECCIÓN</t>
  </si>
  <si>
    <t>[0, 1, 2, 3]</t>
  </si>
  <si>
    <r>
      <rPr>
        <b/>
        <sz val="11"/>
        <color theme="1"/>
        <rFont val="Arial"/>
        <family val="2"/>
      </rPr>
      <t>Variación</t>
    </r>
    <r>
      <rPr>
        <sz val="11"/>
        <color theme="1"/>
        <rFont val="Arial"/>
        <family val="2"/>
      </rPr>
      <t xml:space="preserve"> - el % que modifica la nota de cada alumno por su trabajo individual. Ese valor se especifica en la pestaña de su módulo correspondiente. Se traslada a mano a este página.</t>
    </r>
  </si>
  <si>
    <t>RETO 1 - Notas Transversales</t>
  </si>
  <si>
    <t>Diferencia máx:</t>
  </si>
  <si>
    <t>Horas totales Reto</t>
  </si>
  <si>
    <t>T.Equipo</t>
  </si>
  <si>
    <t>Planificacion</t>
  </si>
  <si>
    <t>C.Oral</t>
  </si>
  <si>
    <t>Faltas</t>
  </si>
  <si>
    <t>Final</t>
  </si>
  <si>
    <t>Izena</t>
  </si>
  <si>
    <t>Prof.</t>
  </si>
  <si>
    <t>Coev.</t>
  </si>
  <si>
    <t>Auto.</t>
  </si>
  <si>
    <t>Dif.</t>
  </si>
  <si>
    <t>Total</t>
  </si>
  <si>
    <t>% Total</t>
  </si>
  <si>
    <t>Faltas durante Reto</t>
  </si>
  <si>
    <t>Alumno 10</t>
  </si>
  <si>
    <t>Configuración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</si>
</sst>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32"/>
      <color theme="1"/>
      <name val="Arial"/>
      <family val="2"/>
    </font>
    <font>
      <b/>
      <sz val="22"/>
      <color theme="1"/>
      <name val="Roboto Condensed"/>
    </font>
    <font>
      <b/>
      <sz val="14"/>
      <color theme="1"/>
      <name val="Roboto Condensed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8"/>
      <color rgb="FFFFFFFF"/>
      <name val="Arial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6FC"/>
        <bgColor rgb="FFD9E6FC"/>
      </patternFill>
    </fill>
    <fill>
      <patternFill patternType="solid">
        <fgColor rgb="FF999999"/>
        <bgColor rgb="FF999999"/>
      </patternFill>
    </fill>
    <fill>
      <patternFill patternType="solid">
        <fgColor rgb="FF969696"/>
        <bgColor rgb="FF969696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9" fontId="4" fillId="5" borderId="2" xfId="0" applyNumberFormat="1" applyFont="1" applyFill="1" applyBorder="1" applyAlignment="1">
      <alignment horizontal="center" vertical="center" wrapText="1"/>
    </xf>
    <xf numFmtId="9" fontId="4" fillId="4" borderId="3" xfId="0" applyNumberFormat="1" applyFont="1" applyFill="1" applyBorder="1" applyAlignment="1">
      <alignment horizontal="center" vertical="center" wrapText="1"/>
    </xf>
    <xf numFmtId="9" fontId="4" fillId="5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" fillId="5" borderId="0" xfId="0" applyFont="1" applyFill="1"/>
    <xf numFmtId="0" fontId="4" fillId="8" borderId="4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0" fontId="4" fillId="8" borderId="8" xfId="0" applyFont="1" applyFill="1" applyBorder="1"/>
    <xf numFmtId="0" fontId="4" fillId="8" borderId="0" xfId="0" applyFont="1" applyFill="1"/>
    <xf numFmtId="0" fontId="9" fillId="8" borderId="9" xfId="0" applyFont="1" applyFill="1" applyBorder="1"/>
    <xf numFmtId="0" fontId="9" fillId="8" borderId="12" xfId="0" applyFont="1" applyFill="1" applyBorder="1"/>
    <xf numFmtId="0" fontId="11" fillId="0" borderId="0" xfId="0" applyFont="1"/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8" borderId="18" xfId="0" applyFont="1" applyFill="1" applyBorder="1"/>
    <xf numFmtId="0" fontId="4" fillId="8" borderId="19" xfId="0" applyFont="1" applyFill="1" applyBorder="1"/>
    <xf numFmtId="0" fontId="4" fillId="8" borderId="20" xfId="0" applyFont="1" applyFill="1" applyBorder="1"/>
    <xf numFmtId="0" fontId="12" fillId="0" borderId="21" xfId="0" applyFont="1" applyBorder="1" applyAlignment="1">
      <alignment horizontal="center"/>
    </xf>
    <xf numFmtId="2" fontId="14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5" fillId="11" borderId="1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5" fillId="11" borderId="2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18" fillId="0" borderId="13" xfId="0" applyFont="1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20" fillId="12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9" fontId="19" fillId="0" borderId="13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5" fillId="11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3" fillId="10" borderId="23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22" fillId="0" borderId="25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10" fillId="9" borderId="13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9" fillId="8" borderId="12" xfId="0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7" fillId="8" borderId="0" xfId="0" applyFont="1" applyFill="1" applyAlignment="1">
      <alignment horizontal="center" vertical="center"/>
    </xf>
    <xf numFmtId="0" fontId="3" fillId="0" borderId="0" xfId="0" applyFont="1"/>
    <xf numFmtId="0" fontId="8" fillId="8" borderId="0" xfId="0" applyFont="1" applyFill="1" applyAlignment="1">
      <alignment horizontal="center"/>
    </xf>
    <xf numFmtId="164" fontId="9" fillId="8" borderId="10" xfId="0" applyNumberFormat="1" applyFont="1" applyFill="1" applyBorder="1"/>
    <xf numFmtId="0" fontId="2" fillId="3" borderId="2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9" fontId="24" fillId="13" borderId="13" xfId="0" applyNumberFormat="1" applyFont="1" applyFill="1" applyBorder="1" applyAlignment="1">
      <alignment horizontal="center" vertical="center" wrapText="1"/>
    </xf>
    <xf numFmtId="9" fontId="24" fillId="13" borderId="32" xfId="0" applyNumberFormat="1" applyFont="1" applyFill="1" applyBorder="1" applyAlignment="1">
      <alignment horizontal="center" vertical="center" wrapText="1"/>
    </xf>
    <xf numFmtId="9" fontId="24" fillId="13" borderId="14" xfId="0" applyNumberFormat="1" applyFont="1" applyFill="1" applyBorder="1" applyAlignment="1">
      <alignment horizontal="center" vertical="center" wrapText="1"/>
    </xf>
    <xf numFmtId="9" fontId="24" fillId="13" borderId="33" xfId="0" applyNumberFormat="1" applyFont="1" applyFill="1" applyBorder="1" applyAlignment="1">
      <alignment horizontal="center" vertical="center" wrapText="1"/>
    </xf>
    <xf numFmtId="0" fontId="24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14" borderId="37" xfId="0" applyFont="1" applyFill="1" applyBorder="1" applyAlignment="1">
      <alignment horizontal="center" vertical="center" wrapText="1"/>
    </xf>
    <xf numFmtId="0" fontId="25" fillId="15" borderId="36" xfId="0" applyFont="1" applyFill="1" applyBorder="1" applyAlignment="1">
      <alignment horizontal="center" vertical="center" wrapText="1"/>
    </xf>
    <xf numFmtId="9" fontId="25" fillId="0" borderId="33" xfId="0" applyNumberFormat="1" applyFont="1" applyBorder="1" applyAlignment="1">
      <alignment horizontal="center" vertical="center" wrapText="1"/>
    </xf>
    <xf numFmtId="9" fontId="25" fillId="0" borderId="38" xfId="0" applyNumberFormat="1" applyFont="1" applyBorder="1" applyAlignment="1">
      <alignment horizontal="center" vertical="center" wrapText="1"/>
    </xf>
    <xf numFmtId="9" fontId="25" fillId="0" borderId="37" xfId="0" applyNumberFormat="1" applyFont="1" applyBorder="1" applyAlignment="1">
      <alignment horizontal="center" vertical="center" wrapText="1"/>
    </xf>
    <xf numFmtId="0" fontId="24" fillId="0" borderId="37" xfId="0" applyFont="1" applyBorder="1" applyAlignment="1">
      <alignment vertical="center" wrapText="1"/>
    </xf>
    <xf numFmtId="0" fontId="25" fillId="16" borderId="39" xfId="0" applyFont="1" applyFill="1" applyBorder="1" applyAlignment="1">
      <alignment horizontal="center" vertical="center" wrapText="1"/>
    </xf>
    <xf numFmtId="0" fontId="25" fillId="17" borderId="36" xfId="0" applyFont="1" applyFill="1" applyBorder="1" applyAlignment="1">
      <alignment horizontal="center" vertical="center" wrapText="1"/>
    </xf>
    <xf numFmtId="0" fontId="25" fillId="17" borderId="37" xfId="0" applyFont="1" applyFill="1" applyBorder="1" applyAlignment="1">
      <alignment horizontal="center" vertical="center" wrapText="1"/>
    </xf>
    <xf numFmtId="0" fontId="25" fillId="17" borderId="33" xfId="0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wrapText="1"/>
    </xf>
    <xf numFmtId="0" fontId="26" fillId="0" borderId="38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9" fontId="24" fillId="0" borderId="37" xfId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wrapText="1"/>
    </xf>
  </cellXfs>
  <cellStyles count="2">
    <cellStyle name="Normal" xfId="0" builtinId="0"/>
    <cellStyle name="Porcentaje" xfId="1" builtinId="5"/>
  </cellStyles>
  <dxfs count="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76950" cy="1152525"/>
    <xdr:pic>
      <xdr:nvPicPr>
        <xdr:cNvPr id="2" name="image3.png" title="irudia">
          <a:extLst>
            <a:ext uri="{FF2B5EF4-FFF2-40B4-BE49-F238E27FC236}">
              <a16:creationId xmlns:a16="http://schemas.microsoft.com/office/drawing/2014/main" id="{3125AFD2-777B-4106-BDDC-D04E80AEF1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76950" cy="11525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5B91-E8DA-49D9-8FE4-2FE19D8301B8}">
  <dimension ref="A1:K1000"/>
  <sheetViews>
    <sheetView workbookViewId="0">
      <selection activeCell="M12" sqref="M12"/>
    </sheetView>
  </sheetViews>
  <sheetFormatPr baseColWidth="10" defaultColWidth="12.6328125" defaultRowHeight="15" customHeight="1" x14ac:dyDescent="0.25"/>
  <cols>
    <col min="1" max="1" width="6" customWidth="1"/>
    <col min="2" max="2" width="3.90625" customWidth="1"/>
    <col min="3" max="3" width="11.7265625" customWidth="1"/>
    <col min="10" max="10" width="6.90625" customWidth="1"/>
    <col min="11" max="11" width="25.26953125" customWidth="1"/>
  </cols>
  <sheetData>
    <row r="1" spans="1:11" ht="114" customHeight="1" thickBot="1" x14ac:dyDescent="0.3"/>
    <row r="2" spans="1:11" ht="13" thickTop="1" x14ac:dyDescent="0.25">
      <c r="D2" s="23"/>
      <c r="E2" s="24"/>
      <c r="F2" s="24"/>
      <c r="G2" s="24"/>
      <c r="H2" s="25"/>
    </row>
    <row r="3" spans="1:11" ht="40" x14ac:dyDescent="0.25">
      <c r="D3" s="26"/>
      <c r="E3" s="83" t="s">
        <v>159</v>
      </c>
      <c r="F3" s="84"/>
      <c r="G3" s="84"/>
      <c r="H3" s="27"/>
    </row>
    <row r="4" spans="1:11" ht="7.5" customHeight="1" x14ac:dyDescent="0.25">
      <c r="D4" s="26"/>
      <c r="E4" s="28"/>
      <c r="F4" s="28"/>
      <c r="G4" s="28"/>
      <c r="H4" s="27"/>
    </row>
    <row r="5" spans="1:11" ht="28" x14ac:dyDescent="0.6">
      <c r="D5" s="26"/>
      <c r="E5" s="85" t="s">
        <v>160</v>
      </c>
      <c r="F5" s="84"/>
      <c r="G5" s="84"/>
      <c r="H5" s="27"/>
    </row>
    <row r="6" spans="1:11" ht="9" customHeight="1" x14ac:dyDescent="0.25">
      <c r="D6" s="26"/>
      <c r="E6" s="28"/>
      <c r="F6" s="28"/>
      <c r="G6" s="28"/>
      <c r="H6" s="27"/>
    </row>
    <row r="7" spans="1:11" ht="18.5" thickBot="1" x14ac:dyDescent="0.45">
      <c r="D7" s="26"/>
      <c r="E7" s="29" t="s">
        <v>161</v>
      </c>
      <c r="F7" s="86" t="s">
        <v>162</v>
      </c>
      <c r="G7" s="79"/>
      <c r="H7" s="27"/>
    </row>
    <row r="8" spans="1:11" ht="18.5" thickBot="1" x14ac:dyDescent="0.45">
      <c r="D8" s="26"/>
      <c r="E8" s="30"/>
      <c r="F8" s="86" t="s">
        <v>162</v>
      </c>
      <c r="G8" s="79"/>
      <c r="H8" s="27"/>
      <c r="J8" s="76" t="s">
        <v>163</v>
      </c>
      <c r="K8" s="67"/>
    </row>
    <row r="9" spans="1:11" ht="13" thickBot="1" x14ac:dyDescent="0.3">
      <c r="D9" s="26"/>
      <c r="E9" s="28"/>
      <c r="F9" s="28"/>
      <c r="G9" s="28"/>
      <c r="H9" s="27"/>
    </row>
    <row r="10" spans="1:11" ht="19.5" customHeight="1" thickBot="1" x14ac:dyDescent="0.45">
      <c r="A10" s="31"/>
      <c r="D10" s="26"/>
      <c r="E10" s="77" t="s">
        <v>178</v>
      </c>
      <c r="F10" s="78"/>
      <c r="G10" s="79"/>
      <c r="H10" s="27"/>
      <c r="J10" s="76" t="s">
        <v>164</v>
      </c>
      <c r="K10" s="67"/>
    </row>
    <row r="11" spans="1:11" ht="18.5" thickBot="1" x14ac:dyDescent="0.45">
      <c r="D11" s="26"/>
      <c r="E11" s="80" t="s">
        <v>165</v>
      </c>
      <c r="F11" s="81"/>
      <c r="G11" s="82"/>
      <c r="H11" s="27"/>
      <c r="J11" s="32">
        <v>1</v>
      </c>
      <c r="K11" s="33" t="s">
        <v>172</v>
      </c>
    </row>
    <row r="12" spans="1:11" ht="14.5" thickBot="1" x14ac:dyDescent="0.35">
      <c r="D12" s="34"/>
      <c r="E12" s="35"/>
      <c r="F12" s="35"/>
      <c r="G12" s="35"/>
      <c r="H12" s="36"/>
      <c r="J12" s="37">
        <v>2</v>
      </c>
      <c r="K12" s="33" t="s">
        <v>172</v>
      </c>
    </row>
    <row r="13" spans="1:11" ht="15" customHeight="1" thickTop="1" thickBot="1" x14ac:dyDescent="0.35">
      <c r="J13" s="37">
        <v>3</v>
      </c>
      <c r="K13" s="33" t="s">
        <v>173</v>
      </c>
    </row>
    <row r="14" spans="1:11" ht="15" customHeight="1" thickBot="1" x14ac:dyDescent="0.35">
      <c r="J14" s="37">
        <v>4</v>
      </c>
      <c r="K14" s="33" t="s">
        <v>173</v>
      </c>
    </row>
    <row r="19" spans="1:4" ht="15.5" x14ac:dyDescent="0.35">
      <c r="A19" s="31"/>
    </row>
    <row r="21" spans="1:4" ht="15.75" customHeight="1" x14ac:dyDescent="0.25"/>
    <row r="22" spans="1:4" ht="15.75" customHeight="1" x14ac:dyDescent="0.35">
      <c r="D22" s="31"/>
    </row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8">
    <mergeCell ref="J8:K8"/>
    <mergeCell ref="E10:G10"/>
    <mergeCell ref="J10:K10"/>
    <mergeCell ref="E11:G11"/>
    <mergeCell ref="E3:G3"/>
    <mergeCell ref="E5:G5"/>
    <mergeCell ref="F7:G7"/>
    <mergeCell ref="F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6"/>
  <sheetViews>
    <sheetView topLeftCell="A24" workbookViewId="0">
      <selection activeCell="I33" sqref="I33"/>
    </sheetView>
  </sheetViews>
  <sheetFormatPr baseColWidth="10" defaultColWidth="12.6328125" defaultRowHeight="15.75" customHeight="1" x14ac:dyDescent="0.25"/>
  <cols>
    <col min="1" max="1" width="7.7265625" customWidth="1"/>
    <col min="2" max="2" width="28.36328125" customWidth="1"/>
    <col min="3" max="3" width="21.08984375" customWidth="1"/>
    <col min="4" max="4" width="18.26953125" customWidth="1"/>
    <col min="5" max="5" width="18" customWidth="1"/>
    <col min="6" max="6" width="18.08984375" customWidth="1"/>
    <col min="7" max="8" width="17" style="49" customWidth="1"/>
  </cols>
  <sheetData>
    <row r="1" spans="1:28" ht="15.75" customHeight="1" x14ac:dyDescent="0.25">
      <c r="A1" s="1"/>
      <c r="B1" s="1"/>
      <c r="C1" s="1"/>
      <c r="D1" s="1"/>
      <c r="E1" s="1"/>
      <c r="F1" s="1"/>
      <c r="G1" s="50"/>
      <c r="H1" s="5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1"/>
      <c r="C2" s="1"/>
      <c r="D2" s="1"/>
      <c r="E2" s="1"/>
      <c r="F2" s="1"/>
      <c r="G2" s="50"/>
      <c r="H2" s="5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87" t="s">
        <v>1</v>
      </c>
      <c r="C3" s="88"/>
      <c r="D3" s="88"/>
      <c r="E3" s="88"/>
      <c r="F3" s="88"/>
      <c r="G3" s="88"/>
      <c r="H3" s="88"/>
      <c r="I3" s="8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2"/>
      <c r="C4" s="4">
        <v>0</v>
      </c>
      <c r="D4" s="4">
        <v>0.33</v>
      </c>
      <c r="E4" s="4">
        <v>0.66</v>
      </c>
      <c r="F4" s="4">
        <v>1</v>
      </c>
      <c r="G4" s="6" t="s">
        <v>2</v>
      </c>
      <c r="H4" s="6" t="s">
        <v>179</v>
      </c>
      <c r="I4" s="6" t="s">
        <v>174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7" t="s">
        <v>3</v>
      </c>
      <c r="C5" s="9"/>
      <c r="D5" s="9"/>
      <c r="E5" s="9"/>
      <c r="F5" s="9"/>
      <c r="G5" s="51"/>
      <c r="H5" s="64" t="s">
        <v>180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2.5" x14ac:dyDescent="0.25">
      <c r="A6" s="1"/>
      <c r="B6" s="11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52">
        <v>1</v>
      </c>
      <c r="H6" s="52"/>
      <c r="I6" s="52">
        <f>IFERROR(_xlfn.SWITCH($H6, 0, $C$4, 1, $D$4, 2, $E$4, 3, $F$4, "Error") * $G6, "Error")</f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5" x14ac:dyDescent="0.25">
      <c r="A7" s="1"/>
      <c r="B7" s="15" t="s">
        <v>12</v>
      </c>
      <c r="C7" s="16" t="s">
        <v>15</v>
      </c>
      <c r="D7" s="16" t="s">
        <v>17</v>
      </c>
      <c r="E7" s="16" t="s">
        <v>18</v>
      </c>
      <c r="F7" s="16" t="s">
        <v>19</v>
      </c>
      <c r="G7" s="53">
        <v>0.5</v>
      </c>
      <c r="H7" s="52"/>
      <c r="I7" s="52">
        <f t="shared" ref="I7:I8" si="0">IFERROR(_xlfn.SWITCH($H7, 0, $C$4, 1, $D$4, 2, $E$4, 3, $F$4, "Error") * $G7, "Error")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7.5" x14ac:dyDescent="0.25">
      <c r="A8" s="1"/>
      <c r="B8" s="15" t="s">
        <v>22</v>
      </c>
      <c r="C8" s="16" t="s">
        <v>23</v>
      </c>
      <c r="D8" s="16" t="s">
        <v>24</v>
      </c>
      <c r="E8" s="16" t="s">
        <v>25</v>
      </c>
      <c r="F8" s="16" t="s">
        <v>26</v>
      </c>
      <c r="G8" s="53">
        <v>0.5</v>
      </c>
      <c r="H8" s="52"/>
      <c r="I8" s="52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5" x14ac:dyDescent="0.25">
      <c r="A9" s="1"/>
      <c r="B9" s="1" t="s">
        <v>154</v>
      </c>
      <c r="C9" s="1"/>
      <c r="D9" s="1"/>
      <c r="E9" s="1"/>
      <c r="F9" s="1"/>
      <c r="G9" s="54">
        <f>SUM(G5:G8)</f>
        <v>2</v>
      </c>
      <c r="H9" s="54"/>
      <c r="I9" s="54">
        <f>SUM(I5:I8)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/>
      <c r="C10" s="1"/>
      <c r="D10" s="1"/>
      <c r="E10" s="1"/>
      <c r="F10" s="1"/>
      <c r="G10" s="50"/>
      <c r="H10" s="5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/>
      <c r="C11" s="1"/>
      <c r="D11" s="1"/>
      <c r="E11" s="1"/>
      <c r="F11" s="1"/>
      <c r="G11" s="50"/>
      <c r="H11" s="5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/>
      <c r="C12" s="1"/>
      <c r="D12" s="1"/>
      <c r="E12" s="1"/>
      <c r="F12" s="1"/>
      <c r="G12" s="50"/>
      <c r="H12" s="5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87" t="s">
        <v>0</v>
      </c>
      <c r="C13" s="88"/>
      <c r="D13" s="88"/>
      <c r="E13" s="88"/>
      <c r="F13" s="88"/>
      <c r="G13" s="88"/>
      <c r="H13" s="88"/>
      <c r="I13" s="8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9"/>
      <c r="C14" s="4">
        <v>0</v>
      </c>
      <c r="D14" s="4">
        <v>0.33</v>
      </c>
      <c r="E14" s="4">
        <v>0.66</v>
      </c>
      <c r="F14" s="4">
        <v>1</v>
      </c>
      <c r="G14" s="4" t="s">
        <v>2</v>
      </c>
      <c r="H14" s="6" t="s">
        <v>179</v>
      </c>
      <c r="I14" s="6" t="s">
        <v>174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7" t="s">
        <v>4</v>
      </c>
      <c r="C15" s="7"/>
      <c r="D15" s="7"/>
      <c r="E15" s="7"/>
      <c r="F15" s="7"/>
      <c r="G15" s="55"/>
      <c r="H15" s="64" t="s">
        <v>180</v>
      </c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2.5" x14ac:dyDescent="0.25">
      <c r="A16" s="1"/>
      <c r="B16" s="11" t="s">
        <v>51</v>
      </c>
      <c r="C16" s="13" t="s">
        <v>52</v>
      </c>
      <c r="D16" s="13" t="s">
        <v>53</v>
      </c>
      <c r="E16" s="13" t="s">
        <v>54</v>
      </c>
      <c r="F16" s="13" t="s">
        <v>55</v>
      </c>
      <c r="G16" s="52">
        <v>0.75</v>
      </c>
      <c r="H16" s="52"/>
      <c r="I16" s="52">
        <f>IFERROR(_xlfn.SWITCH($H16, 0, $C$4, 1, $D$4, 2, $E$4, 3, $F$4, "Error") * $G16, "Error")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7.5" x14ac:dyDescent="0.25">
      <c r="A17" s="1"/>
      <c r="B17" s="11" t="s">
        <v>61</v>
      </c>
      <c r="C17" s="13" t="s">
        <v>62</v>
      </c>
      <c r="D17" s="13" t="s">
        <v>63</v>
      </c>
      <c r="E17" s="13" t="s">
        <v>64</v>
      </c>
      <c r="F17" s="13" t="s">
        <v>65</v>
      </c>
      <c r="G17" s="52">
        <v>0.5</v>
      </c>
      <c r="H17" s="52"/>
      <c r="I17" s="52">
        <f t="shared" ref="I17:I25" si="1">IFERROR(_xlfn.SWITCH($H17, 0, $C$4, 1, $D$4, 2, $E$4, 3, $F$4, "Error") * $G17, "Error")</f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87.5" x14ac:dyDescent="0.25">
      <c r="A18" s="1"/>
      <c r="B18" s="11" t="s">
        <v>66</v>
      </c>
      <c r="C18" s="16" t="s">
        <v>67</v>
      </c>
      <c r="D18" s="16" t="s">
        <v>68</v>
      </c>
      <c r="E18" s="16" t="s">
        <v>69</v>
      </c>
      <c r="F18" s="16" t="s">
        <v>70</v>
      </c>
      <c r="G18" s="53">
        <v>0.25</v>
      </c>
      <c r="H18" s="52"/>
      <c r="I18" s="52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50" x14ac:dyDescent="0.25">
      <c r="A19" s="1"/>
      <c r="B19" s="11" t="s">
        <v>72</v>
      </c>
      <c r="C19" s="16" t="s">
        <v>28</v>
      </c>
      <c r="D19" s="16" t="s">
        <v>73</v>
      </c>
      <c r="E19" s="16" t="s">
        <v>74</v>
      </c>
      <c r="F19" s="16" t="s">
        <v>75</v>
      </c>
      <c r="G19" s="53">
        <v>0.5</v>
      </c>
      <c r="H19" s="52"/>
      <c r="I19" s="52">
        <f t="shared" si="1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" x14ac:dyDescent="0.25">
      <c r="A20" s="1"/>
      <c r="B20" s="11" t="s">
        <v>81</v>
      </c>
      <c r="C20" s="16" t="s">
        <v>28</v>
      </c>
      <c r="D20" s="16"/>
      <c r="E20" s="16"/>
      <c r="F20" s="16" t="s">
        <v>29</v>
      </c>
      <c r="G20" s="53">
        <v>0.25</v>
      </c>
      <c r="H20" s="52"/>
      <c r="I20" s="52">
        <f t="shared" si="1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50" x14ac:dyDescent="0.25">
      <c r="A21" s="1"/>
      <c r="B21" s="11" t="s">
        <v>87</v>
      </c>
      <c r="C21" s="16" t="s">
        <v>88</v>
      </c>
      <c r="D21" s="16" t="s">
        <v>90</v>
      </c>
      <c r="E21" s="16" t="s">
        <v>91</v>
      </c>
      <c r="F21" s="16" t="s">
        <v>92</v>
      </c>
      <c r="G21" s="53">
        <v>0.5</v>
      </c>
      <c r="H21" s="52"/>
      <c r="I21" s="52">
        <f t="shared" si="1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" x14ac:dyDescent="0.25">
      <c r="A22" s="1"/>
      <c r="B22" s="11" t="s">
        <v>94</v>
      </c>
      <c r="C22" s="16" t="s">
        <v>28</v>
      </c>
      <c r="D22" s="16"/>
      <c r="E22" s="16"/>
      <c r="F22" s="16" t="s">
        <v>29</v>
      </c>
      <c r="G22" s="53">
        <v>0.25</v>
      </c>
      <c r="H22" s="52"/>
      <c r="I22" s="52">
        <f t="shared" si="1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0" x14ac:dyDescent="0.25">
      <c r="A23" s="1"/>
      <c r="B23" s="11" t="s">
        <v>100</v>
      </c>
      <c r="C23" s="16" t="s">
        <v>101</v>
      </c>
      <c r="D23" s="16" t="s">
        <v>102</v>
      </c>
      <c r="E23" s="16" t="s">
        <v>103</v>
      </c>
      <c r="F23" s="16" t="s">
        <v>104</v>
      </c>
      <c r="G23" s="53">
        <v>3</v>
      </c>
      <c r="H23" s="52"/>
      <c r="I23" s="52">
        <f t="shared" si="1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00" x14ac:dyDescent="0.25">
      <c r="A24" s="1"/>
      <c r="B24" s="11" t="s">
        <v>106</v>
      </c>
      <c r="C24" s="16" t="s">
        <v>107</v>
      </c>
      <c r="D24" s="16" t="s">
        <v>108</v>
      </c>
      <c r="E24" s="16" t="s">
        <v>109</v>
      </c>
      <c r="F24" s="16" t="s">
        <v>110</v>
      </c>
      <c r="G24" s="53">
        <v>1.5</v>
      </c>
      <c r="H24" s="52"/>
      <c r="I24" s="52">
        <f t="shared" si="1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87.5" x14ac:dyDescent="0.25">
      <c r="A25" s="1"/>
      <c r="B25" s="11" t="s">
        <v>111</v>
      </c>
      <c r="C25" s="16" t="s">
        <v>112</v>
      </c>
      <c r="D25" s="16"/>
      <c r="E25" s="16"/>
      <c r="F25" s="16" t="s">
        <v>114</v>
      </c>
      <c r="G25" s="53">
        <v>0.5</v>
      </c>
      <c r="H25" s="52"/>
      <c r="I25" s="52">
        <f t="shared" si="1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 t="s">
        <v>155</v>
      </c>
      <c r="C26" s="1"/>
      <c r="D26" s="1"/>
      <c r="E26" s="1"/>
      <c r="F26" s="1"/>
      <c r="G26" s="54">
        <f>SUM(G15:G25)</f>
        <v>8</v>
      </c>
      <c r="H26" s="54"/>
      <c r="I26" s="54">
        <f>SUM(I15:I25)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1"/>
      <c r="E27" s="1"/>
      <c r="F27" s="1"/>
      <c r="G27" s="50"/>
      <c r="H27" s="5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1"/>
      <c r="E28" s="1"/>
      <c r="F28" s="1"/>
      <c r="G28" s="50"/>
      <c r="H28" s="5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F29" s="1"/>
      <c r="G29" s="50"/>
      <c r="H29" s="5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customHeight="1" x14ac:dyDescent="0.25">
      <c r="A30" s="1"/>
      <c r="B30" s="87" t="s">
        <v>127</v>
      </c>
      <c r="C30" s="88"/>
      <c r="D30" s="88"/>
      <c r="E30" s="88"/>
      <c r="F30" s="88"/>
      <c r="G30" s="88"/>
      <c r="H30" s="8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9"/>
      <c r="C31" s="4">
        <v>0</v>
      </c>
      <c r="D31" s="4">
        <v>0.33</v>
      </c>
      <c r="E31" s="4">
        <v>0.66</v>
      </c>
      <c r="F31" s="4">
        <v>1</v>
      </c>
      <c r="G31" s="4" t="s">
        <v>2</v>
      </c>
      <c r="H31" s="4" t="s">
        <v>179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6" x14ac:dyDescent="0.25">
      <c r="A32" s="1"/>
      <c r="B32" s="7" t="s">
        <v>133</v>
      </c>
      <c r="C32" s="7"/>
      <c r="D32" s="7"/>
      <c r="E32" s="7"/>
      <c r="F32" s="7"/>
      <c r="G32" s="55" t="s">
        <v>135</v>
      </c>
      <c r="H32" s="55" t="s">
        <v>180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00" x14ac:dyDescent="0.25">
      <c r="A33" s="1"/>
      <c r="B33" s="11" t="s">
        <v>136</v>
      </c>
      <c r="C33" s="13" t="s">
        <v>137</v>
      </c>
      <c r="D33" s="13" t="s">
        <v>138</v>
      </c>
      <c r="E33" s="13" t="s">
        <v>140</v>
      </c>
      <c r="F33" s="13" t="s">
        <v>141</v>
      </c>
      <c r="G33" s="54"/>
      <c r="H33" s="6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5" x14ac:dyDescent="0.25">
      <c r="A34" s="1"/>
      <c r="B34" s="1" t="s">
        <v>156</v>
      </c>
      <c r="C34" s="1"/>
      <c r="D34" s="1"/>
      <c r="E34" s="1"/>
      <c r="F34" s="1"/>
      <c r="G34" s="50"/>
      <c r="H34" s="5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 t="s">
        <v>144</v>
      </c>
      <c r="C35" s="1"/>
      <c r="D35" s="1"/>
      <c r="E35" s="1"/>
      <c r="F35" s="1"/>
      <c r="G35" s="50"/>
      <c r="H35" s="5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/>
      <c r="C36" s="1"/>
      <c r="D36" s="1"/>
      <c r="E36" s="1"/>
      <c r="F36" s="1"/>
      <c r="G36" s="50"/>
      <c r="H36" s="5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/>
      <c r="C37" s="1"/>
      <c r="D37" s="1"/>
      <c r="E37" s="1"/>
      <c r="F37" s="1"/>
      <c r="G37" s="50"/>
      <c r="H37" s="5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1"/>
      <c r="G38" s="50"/>
      <c r="H38" s="5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1"/>
      <c r="G39" s="50"/>
      <c r="H39" s="5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1"/>
      <c r="G40" s="50"/>
      <c r="H40" s="5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1"/>
      <c r="G41" s="50"/>
      <c r="H41" s="5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1"/>
      <c r="G42" s="50"/>
      <c r="H42" s="5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1"/>
      <c r="G43" s="50"/>
      <c r="H43" s="5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1"/>
      <c r="G44" s="50"/>
      <c r="H44" s="5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1"/>
      <c r="G45" s="50"/>
      <c r="H45" s="5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1"/>
      <c r="G46" s="50"/>
      <c r="H46" s="5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1"/>
      <c r="G47" s="50"/>
      <c r="H47" s="5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1"/>
      <c r="G48" s="50"/>
      <c r="H48" s="5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1"/>
      <c r="G49" s="50"/>
      <c r="H49" s="5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1"/>
      <c r="G50" s="50"/>
      <c r="H50" s="5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1"/>
      <c r="G51" s="50"/>
      <c r="H51" s="5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1"/>
      <c r="G52" s="50"/>
      <c r="H52" s="5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1"/>
      <c r="G53" s="50"/>
      <c r="H53" s="5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1"/>
      <c r="G54" s="50"/>
      <c r="H54" s="5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1"/>
      <c r="G55" s="50"/>
      <c r="H55" s="5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1"/>
      <c r="G56" s="50"/>
      <c r="H56" s="5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1"/>
      <c r="G57" s="50"/>
      <c r="H57" s="5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1"/>
      <c r="G58" s="50"/>
      <c r="H58" s="5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1"/>
      <c r="G59" s="50"/>
      <c r="H59" s="5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1"/>
      <c r="G60" s="50"/>
      <c r="H60" s="5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1"/>
      <c r="G61" s="50"/>
      <c r="H61" s="5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1"/>
      <c r="G62" s="50"/>
      <c r="H62" s="5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1"/>
      <c r="G63" s="50"/>
      <c r="H63" s="5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1"/>
      <c r="G64" s="50"/>
      <c r="H64" s="5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1"/>
      <c r="G65" s="50"/>
      <c r="H65" s="5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1"/>
      <c r="G66" s="50"/>
      <c r="H66" s="5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1"/>
      <c r="G67" s="50"/>
      <c r="H67" s="5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1"/>
      <c r="G68" s="50"/>
      <c r="H68" s="5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1"/>
      <c r="G69" s="50"/>
      <c r="H69" s="5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1"/>
      <c r="G70" s="50"/>
      <c r="H70" s="5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1"/>
      <c r="G71" s="50"/>
      <c r="H71" s="5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1"/>
      <c r="G72" s="50"/>
      <c r="H72" s="5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1"/>
      <c r="G73" s="50"/>
      <c r="H73" s="5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1"/>
      <c r="G74" s="50"/>
      <c r="H74" s="5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1"/>
      <c r="G75" s="50"/>
      <c r="H75" s="5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1"/>
      <c r="G76" s="50"/>
      <c r="H76" s="5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1"/>
      <c r="G77" s="50"/>
      <c r="H77" s="5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1"/>
      <c r="G78" s="50"/>
      <c r="H78" s="5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1"/>
      <c r="G79" s="50"/>
      <c r="H79" s="5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1"/>
      <c r="G80" s="50"/>
      <c r="H80" s="5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1"/>
      <c r="G81" s="50"/>
      <c r="H81" s="5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1"/>
      <c r="G82" s="50"/>
      <c r="H82" s="5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1"/>
      <c r="G83" s="50"/>
      <c r="H83" s="5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1"/>
      <c r="G84" s="50"/>
      <c r="H84" s="5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1"/>
      <c r="G85" s="50"/>
      <c r="H85" s="5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1"/>
      <c r="G86" s="50"/>
      <c r="H86" s="5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1"/>
      <c r="G87" s="50"/>
      <c r="H87" s="5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1"/>
      <c r="G88" s="50"/>
      <c r="H88" s="5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1"/>
      <c r="G89" s="50"/>
      <c r="H89" s="5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1"/>
      <c r="G90" s="50"/>
      <c r="H90" s="5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1"/>
      <c r="G91" s="50"/>
      <c r="H91" s="5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1"/>
      <c r="G92" s="50"/>
      <c r="H92" s="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1"/>
      <c r="G93" s="50"/>
      <c r="H93" s="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1"/>
      <c r="G94" s="50"/>
      <c r="H94" s="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1"/>
      <c r="G95" s="50"/>
      <c r="H95" s="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1"/>
      <c r="G96" s="50"/>
      <c r="H96" s="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1"/>
      <c r="G97" s="50"/>
      <c r="H97" s="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1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1"/>
      <c r="G99" s="50"/>
      <c r="H99" s="5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1"/>
      <c r="G100" s="50"/>
      <c r="H100" s="5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1"/>
      <c r="G101" s="50"/>
      <c r="H101" s="5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1"/>
      <c r="G102" s="50"/>
      <c r="H102" s="5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1"/>
      <c r="G103" s="50"/>
      <c r="H103" s="5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1"/>
      <c r="G104" s="50"/>
      <c r="H104" s="5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1"/>
      <c r="G105" s="50"/>
      <c r="H105" s="5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1"/>
      <c r="G106" s="50"/>
      <c r="H106" s="5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1"/>
      <c r="G107" s="50"/>
      <c r="H107" s="5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1"/>
      <c r="G108" s="50"/>
      <c r="H108" s="5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1"/>
      <c r="G109" s="50"/>
      <c r="H109" s="5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1"/>
      <c r="G110" s="50"/>
      <c r="H110" s="5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1"/>
      <c r="G111" s="50"/>
      <c r="H111" s="5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1"/>
      <c r="G112" s="50"/>
      <c r="H112" s="5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1"/>
      <c r="G113" s="50"/>
      <c r="H113" s="5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1"/>
      <c r="G114" s="50"/>
      <c r="H114" s="5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1"/>
      <c r="G115" s="50"/>
      <c r="H115" s="5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1"/>
      <c r="G116" s="50"/>
      <c r="H116" s="5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1"/>
      <c r="G117" s="50"/>
      <c r="H117" s="5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1"/>
      <c r="G118" s="50"/>
      <c r="H118" s="5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1"/>
      <c r="G119" s="50"/>
      <c r="H119" s="5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1"/>
      <c r="G120" s="50"/>
      <c r="H120" s="5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1"/>
      <c r="G121" s="50"/>
      <c r="H121" s="5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1"/>
      <c r="G122" s="50"/>
      <c r="H122" s="5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1"/>
      <c r="G123" s="50"/>
      <c r="H123" s="5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1"/>
      <c r="G124" s="50"/>
      <c r="H124" s="5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1"/>
      <c r="G125" s="50"/>
      <c r="H125" s="5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1"/>
      <c r="G126" s="50"/>
      <c r="H126" s="5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1"/>
      <c r="G127" s="50"/>
      <c r="H127" s="5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1"/>
      <c r="G128" s="50"/>
      <c r="H128" s="5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1"/>
      <c r="G129" s="50"/>
      <c r="H129" s="5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1"/>
      <c r="G130" s="50"/>
      <c r="H130" s="5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1"/>
      <c r="G131" s="50"/>
      <c r="H131" s="5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1"/>
      <c r="G132" s="50"/>
      <c r="H132" s="5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1"/>
      <c r="G133" s="50"/>
      <c r="H133" s="5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1"/>
      <c r="G134" s="50"/>
      <c r="H134" s="5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1"/>
      <c r="G135" s="50"/>
      <c r="H135" s="5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1"/>
      <c r="G136" s="50"/>
      <c r="H136" s="5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1"/>
      <c r="G137" s="50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1"/>
      <c r="G138" s="50"/>
      <c r="H138" s="5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1"/>
      <c r="G139" s="50"/>
      <c r="H139" s="5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1"/>
      <c r="G140" s="50"/>
      <c r="H140" s="5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1"/>
      <c r="G141" s="50"/>
      <c r="H141" s="5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1"/>
      <c r="G142" s="50"/>
      <c r="H142" s="5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1"/>
      <c r="G143" s="50"/>
      <c r="H143" s="5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1"/>
      <c r="G144" s="50"/>
      <c r="H144" s="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1"/>
      <c r="G145" s="50"/>
      <c r="H145" s="5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1"/>
      <c r="G146" s="50"/>
      <c r="H146" s="5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1"/>
      <c r="G147" s="50"/>
      <c r="H147" s="5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1"/>
      <c r="G148" s="50"/>
      <c r="H148" s="5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1"/>
      <c r="G149" s="50"/>
      <c r="H149" s="5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1"/>
      <c r="G150" s="50"/>
      <c r="H150" s="5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1"/>
      <c r="G151" s="50"/>
      <c r="H151" s="5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1"/>
      <c r="G152" s="50"/>
      <c r="H152" s="5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1"/>
      <c r="G153" s="50"/>
      <c r="H153" s="5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1"/>
      <c r="G154" s="50"/>
      <c r="H154" s="5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1"/>
      <c r="G155" s="50"/>
      <c r="H155" s="5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1"/>
      <c r="G156" s="50"/>
      <c r="H156" s="5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1"/>
      <c r="G157" s="50"/>
      <c r="H157" s="5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1"/>
      <c r="G158" s="50"/>
      <c r="H158" s="5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1"/>
      <c r="G159" s="50"/>
      <c r="H159" s="5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1"/>
      <c r="G160" s="50"/>
      <c r="H160" s="5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1"/>
      <c r="G161" s="50"/>
      <c r="H161" s="5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1"/>
      <c r="G162" s="50"/>
      <c r="H162" s="5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1"/>
      <c r="G163" s="50"/>
      <c r="H163" s="5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1"/>
      <c r="G164" s="50"/>
      <c r="H164" s="5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1"/>
      <c r="G165" s="50"/>
      <c r="H165" s="5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1"/>
      <c r="G166" s="50"/>
      <c r="H166" s="5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1"/>
      <c r="G167" s="50"/>
      <c r="H167" s="5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1"/>
      <c r="G168" s="50"/>
      <c r="H168" s="5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1"/>
      <c r="G169" s="50"/>
      <c r="H169" s="5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1"/>
      <c r="G170" s="50"/>
      <c r="H170" s="5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1"/>
      <c r="G171" s="50"/>
      <c r="H171" s="5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1"/>
      <c r="G172" s="50"/>
      <c r="H172" s="5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1"/>
      <c r="G173" s="50"/>
      <c r="H173" s="5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1"/>
      <c r="G174" s="50"/>
      <c r="H174" s="5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1"/>
      <c r="G175" s="50"/>
      <c r="H175" s="5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1"/>
      <c r="G176" s="50"/>
      <c r="H176" s="5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1"/>
      <c r="G177" s="50"/>
      <c r="H177" s="5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1"/>
      <c r="G178" s="50"/>
      <c r="H178" s="5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1"/>
      <c r="G179" s="50"/>
      <c r="H179" s="5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1"/>
      <c r="G180" s="50"/>
      <c r="H180" s="5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1"/>
      <c r="G181" s="50"/>
      <c r="H181" s="5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1"/>
      <c r="G182" s="50"/>
      <c r="H182" s="5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1"/>
      <c r="G183" s="50"/>
      <c r="H183" s="5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1"/>
      <c r="G184" s="50"/>
      <c r="H184" s="5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1"/>
      <c r="G185" s="50"/>
      <c r="H185" s="5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1"/>
      <c r="G186" s="50"/>
      <c r="H186" s="5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1"/>
      <c r="G187" s="50"/>
      <c r="H187" s="5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1"/>
      <c r="G188" s="50"/>
      <c r="H188" s="5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1"/>
      <c r="G189" s="50"/>
      <c r="H189" s="5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1"/>
      <c r="G190" s="50"/>
      <c r="H190" s="5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1"/>
      <c r="G191" s="50"/>
      <c r="H191" s="5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1"/>
      <c r="G192" s="50"/>
      <c r="H192" s="5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1"/>
      <c r="G193" s="50"/>
      <c r="H193" s="5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1"/>
      <c r="G194" s="50"/>
      <c r="H194" s="5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1"/>
      <c r="G195" s="50"/>
      <c r="H195" s="5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1"/>
      <c r="G196" s="50"/>
      <c r="H196" s="5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1"/>
      <c r="G197" s="50"/>
      <c r="H197" s="5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1"/>
      <c r="G198" s="50"/>
      <c r="H198" s="5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1"/>
      <c r="G199" s="50"/>
      <c r="H199" s="5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1"/>
      <c r="G200" s="50"/>
      <c r="H200" s="5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1"/>
      <c r="G201" s="50"/>
      <c r="H201" s="5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1"/>
      <c r="G202" s="50"/>
      <c r="H202" s="5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1"/>
      <c r="G203" s="50"/>
      <c r="H203" s="5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1"/>
      <c r="G204" s="50"/>
      <c r="H204" s="5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1"/>
      <c r="G205" s="50"/>
      <c r="H205" s="5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1"/>
      <c r="G206" s="50"/>
      <c r="H206" s="5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1"/>
      <c r="G207" s="50"/>
      <c r="H207" s="5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1"/>
      <c r="G208" s="50"/>
      <c r="H208" s="5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1"/>
      <c r="G209" s="50"/>
      <c r="H209" s="5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1"/>
      <c r="G210" s="50"/>
      <c r="H210" s="5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1"/>
      <c r="G211" s="50"/>
      <c r="H211" s="5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1"/>
      <c r="G212" s="50"/>
      <c r="H212" s="5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1"/>
      <c r="G213" s="50"/>
      <c r="H213" s="5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1"/>
      <c r="G214" s="50"/>
      <c r="H214" s="5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1"/>
      <c r="G215" s="50"/>
      <c r="H215" s="5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1"/>
      <c r="G216" s="50"/>
      <c r="H216" s="5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1"/>
      <c r="G217" s="50"/>
      <c r="H217" s="5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1"/>
      <c r="G218" s="50"/>
      <c r="H218" s="5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1"/>
      <c r="G219" s="50"/>
      <c r="H219" s="5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1"/>
      <c r="G220" s="50"/>
      <c r="H220" s="5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1"/>
      <c r="G221" s="50"/>
      <c r="H221" s="5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1"/>
      <c r="G222" s="50"/>
      <c r="H222" s="5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1"/>
      <c r="G223" s="50"/>
      <c r="H223" s="5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1"/>
      <c r="G224" s="50"/>
      <c r="H224" s="5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1"/>
      <c r="G225" s="50"/>
      <c r="H225" s="5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1"/>
      <c r="G226" s="50"/>
      <c r="H226" s="5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1"/>
      <c r="G227" s="50"/>
      <c r="H227" s="5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1"/>
      <c r="G228" s="50"/>
      <c r="H228" s="5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1"/>
      <c r="G229" s="50"/>
      <c r="H229" s="5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1"/>
      <c r="G230" s="50"/>
      <c r="H230" s="5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1"/>
      <c r="G231" s="50"/>
      <c r="H231" s="5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1"/>
      <c r="G232" s="50"/>
      <c r="H232" s="5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1"/>
      <c r="G233" s="50"/>
      <c r="H233" s="5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1"/>
      <c r="G234" s="50"/>
      <c r="H234" s="5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1"/>
      <c r="G235" s="50"/>
      <c r="H235" s="5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1"/>
      <c r="G236" s="50"/>
      <c r="H236" s="5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1"/>
      <c r="G237" s="50"/>
      <c r="H237" s="5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1"/>
      <c r="G238" s="50"/>
      <c r="H238" s="5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1"/>
      <c r="G239" s="50"/>
      <c r="H239" s="5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1"/>
      <c r="G240" s="50"/>
      <c r="H240" s="5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1"/>
      <c r="G241" s="50"/>
      <c r="H241" s="5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1"/>
      <c r="G242" s="50"/>
      <c r="H242" s="5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1"/>
      <c r="G243" s="50"/>
      <c r="H243" s="5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1"/>
      <c r="G244" s="50"/>
      <c r="H244" s="5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1"/>
      <c r="G245" s="50"/>
      <c r="H245" s="5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1"/>
      <c r="G246" s="50"/>
      <c r="H246" s="5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1"/>
      <c r="G247" s="50"/>
      <c r="H247" s="5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1"/>
      <c r="G248" s="50"/>
      <c r="H248" s="5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1"/>
      <c r="G249" s="50"/>
      <c r="H249" s="5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1"/>
      <c r="G250" s="50"/>
      <c r="H250" s="5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1"/>
      <c r="G251" s="50"/>
      <c r="H251" s="5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1"/>
      <c r="G252" s="50"/>
      <c r="H252" s="5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1"/>
      <c r="G253" s="50"/>
      <c r="H253" s="5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1"/>
      <c r="G254" s="50"/>
      <c r="H254" s="5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1"/>
      <c r="G255" s="50"/>
      <c r="H255" s="5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1"/>
      <c r="G256" s="50"/>
      <c r="H256" s="5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1"/>
      <c r="G257" s="50"/>
      <c r="H257" s="5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1"/>
      <c r="G258" s="50"/>
      <c r="H258" s="5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1"/>
      <c r="G259" s="50"/>
      <c r="H259" s="5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1"/>
      <c r="G260" s="50"/>
      <c r="H260" s="5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1"/>
      <c r="G261" s="50"/>
      <c r="H261" s="5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1"/>
      <c r="G262" s="50"/>
      <c r="H262" s="5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1"/>
      <c r="G263" s="50"/>
      <c r="H263" s="5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1"/>
      <c r="G264" s="50"/>
      <c r="H264" s="5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1"/>
      <c r="G265" s="50"/>
      <c r="H265" s="5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1"/>
      <c r="G266" s="50"/>
      <c r="H266" s="5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1"/>
      <c r="G267" s="50"/>
      <c r="H267" s="5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1"/>
      <c r="G268" s="50"/>
      <c r="H268" s="5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1"/>
      <c r="G269" s="50"/>
      <c r="H269" s="5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1"/>
      <c r="G270" s="50"/>
      <c r="H270" s="5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1"/>
      <c r="G271" s="50"/>
      <c r="H271" s="5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1"/>
      <c r="G272" s="50"/>
      <c r="H272" s="5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1"/>
      <c r="G273" s="50"/>
      <c r="H273" s="5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1"/>
      <c r="G274" s="50"/>
      <c r="H274" s="5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1"/>
      <c r="G275" s="50"/>
      <c r="H275" s="5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1"/>
      <c r="G276" s="50"/>
      <c r="H276" s="5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1"/>
      <c r="G277" s="50"/>
      <c r="H277" s="5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1"/>
      <c r="G278" s="50"/>
      <c r="H278" s="5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1"/>
      <c r="G279" s="50"/>
      <c r="H279" s="5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1"/>
      <c r="G280" s="50"/>
      <c r="H280" s="5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1"/>
      <c r="G281" s="50"/>
      <c r="H281" s="5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1"/>
      <c r="G282" s="50"/>
      <c r="H282" s="5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1"/>
      <c r="G283" s="50"/>
      <c r="H283" s="5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1"/>
      <c r="G284" s="50"/>
      <c r="H284" s="5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1"/>
      <c r="G285" s="50"/>
      <c r="H285" s="5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1"/>
      <c r="G286" s="50"/>
      <c r="H286" s="5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1"/>
      <c r="G287" s="50"/>
      <c r="H287" s="5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1"/>
      <c r="G288" s="50"/>
      <c r="H288" s="5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1"/>
      <c r="G289" s="50"/>
      <c r="H289" s="5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1"/>
      <c r="G290" s="50"/>
      <c r="H290" s="5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1"/>
      <c r="G291" s="50"/>
      <c r="H291" s="5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1"/>
      <c r="G292" s="50"/>
      <c r="H292" s="5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1"/>
      <c r="G293" s="50"/>
      <c r="H293" s="5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1"/>
      <c r="G294" s="50"/>
      <c r="H294" s="5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1"/>
      <c r="G295" s="50"/>
      <c r="H295" s="5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1"/>
      <c r="G296" s="50"/>
      <c r="H296" s="5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1"/>
      <c r="G297" s="50"/>
      <c r="H297" s="5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1"/>
      <c r="G298" s="50"/>
      <c r="H298" s="5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1"/>
      <c r="G299" s="50"/>
      <c r="H299" s="5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1"/>
      <c r="G300" s="50"/>
      <c r="H300" s="5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1"/>
      <c r="G301" s="50"/>
      <c r="H301" s="5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1"/>
      <c r="G302" s="50"/>
      <c r="H302" s="5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1"/>
      <c r="G303" s="50"/>
      <c r="H303" s="5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1"/>
      <c r="G304" s="50"/>
      <c r="H304" s="5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1"/>
      <c r="G305" s="50"/>
      <c r="H305" s="5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1"/>
      <c r="G306" s="50"/>
      <c r="H306" s="5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1"/>
      <c r="G307" s="50"/>
      <c r="H307" s="5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1"/>
      <c r="G308" s="50"/>
      <c r="H308" s="5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1"/>
      <c r="G309" s="50"/>
      <c r="H309" s="5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1"/>
      <c r="G310" s="50"/>
      <c r="H310" s="5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1"/>
      <c r="G311" s="50"/>
      <c r="H311" s="5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1"/>
      <c r="G312" s="50"/>
      <c r="H312" s="5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1"/>
      <c r="G313" s="50"/>
      <c r="H313" s="5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1"/>
      <c r="G314" s="50"/>
      <c r="H314" s="5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1"/>
      <c r="G315" s="50"/>
      <c r="H315" s="5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1"/>
      <c r="G316" s="50"/>
      <c r="H316" s="5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1"/>
      <c r="G317" s="50"/>
      <c r="H317" s="5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1"/>
      <c r="G318" s="50"/>
      <c r="H318" s="5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1"/>
      <c r="G319" s="50"/>
      <c r="H319" s="5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1"/>
      <c r="G320" s="50"/>
      <c r="H320" s="5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1"/>
      <c r="G321" s="50"/>
      <c r="H321" s="5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1"/>
      <c r="G322" s="50"/>
      <c r="H322" s="5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1"/>
      <c r="G323" s="50"/>
      <c r="H323" s="5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1"/>
      <c r="G324" s="50"/>
      <c r="H324" s="5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1"/>
      <c r="G325" s="50"/>
      <c r="H325" s="5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1"/>
      <c r="G326" s="50"/>
      <c r="H326" s="5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1"/>
      <c r="G327" s="50"/>
      <c r="H327" s="5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1"/>
      <c r="G328" s="50"/>
      <c r="H328" s="5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1"/>
      <c r="G329" s="50"/>
      <c r="H329" s="5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1"/>
      <c r="G330" s="50"/>
      <c r="H330" s="5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1"/>
      <c r="G331" s="50"/>
      <c r="H331" s="5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1"/>
      <c r="G332" s="50"/>
      <c r="H332" s="5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1"/>
      <c r="G333" s="50"/>
      <c r="H333" s="5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1"/>
      <c r="G334" s="50"/>
      <c r="H334" s="5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1"/>
      <c r="G335" s="50"/>
      <c r="H335" s="5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1"/>
      <c r="G336" s="50"/>
      <c r="H336" s="5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1"/>
      <c r="G337" s="50"/>
      <c r="H337" s="5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1"/>
      <c r="G338" s="50"/>
      <c r="H338" s="5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1"/>
      <c r="G339" s="50"/>
      <c r="H339" s="5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1"/>
      <c r="G340" s="50"/>
      <c r="H340" s="5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1"/>
      <c r="G341" s="50"/>
      <c r="H341" s="5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1"/>
      <c r="G342" s="50"/>
      <c r="H342" s="5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1"/>
      <c r="G343" s="50"/>
      <c r="H343" s="5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1"/>
      <c r="G344" s="50"/>
      <c r="H344" s="5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1"/>
      <c r="G345" s="50"/>
      <c r="H345" s="5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1"/>
      <c r="G346" s="50"/>
      <c r="H346" s="5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1"/>
      <c r="G347" s="50"/>
      <c r="H347" s="5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1"/>
      <c r="G348" s="50"/>
      <c r="H348" s="5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1"/>
      <c r="G349" s="50"/>
      <c r="H349" s="5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1"/>
      <c r="G350" s="50"/>
      <c r="H350" s="5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1"/>
      <c r="G351" s="50"/>
      <c r="H351" s="5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1"/>
      <c r="G352" s="50"/>
      <c r="H352" s="5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1"/>
      <c r="G353" s="50"/>
      <c r="H353" s="5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1"/>
      <c r="G354" s="50"/>
      <c r="H354" s="5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1"/>
      <c r="G355" s="50"/>
      <c r="H355" s="5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1"/>
      <c r="G356" s="50"/>
      <c r="H356" s="5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1"/>
      <c r="G357" s="50"/>
      <c r="H357" s="5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1"/>
      <c r="G358" s="50"/>
      <c r="H358" s="5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1"/>
      <c r="G359" s="50"/>
      <c r="H359" s="5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1"/>
      <c r="G360" s="50"/>
      <c r="H360" s="5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1"/>
      <c r="G361" s="50"/>
      <c r="H361" s="5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1"/>
      <c r="G362" s="50"/>
      <c r="H362" s="5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1"/>
      <c r="G363" s="50"/>
      <c r="H363" s="5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1"/>
      <c r="G364" s="50"/>
      <c r="H364" s="5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1"/>
      <c r="G365" s="50"/>
      <c r="H365" s="5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1"/>
      <c r="G366" s="50"/>
      <c r="H366" s="5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1"/>
      <c r="G367" s="50"/>
      <c r="H367" s="5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1"/>
      <c r="G368" s="50"/>
      <c r="H368" s="5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1"/>
      <c r="G369" s="50"/>
      <c r="H369" s="5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1"/>
      <c r="G370" s="50"/>
      <c r="H370" s="5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1"/>
      <c r="G371" s="50"/>
      <c r="H371" s="5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1"/>
      <c r="G372" s="50"/>
      <c r="H372" s="5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1"/>
      <c r="G373" s="50"/>
      <c r="H373" s="5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1"/>
      <c r="G374" s="50"/>
      <c r="H374" s="5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1"/>
      <c r="G375" s="50"/>
      <c r="H375" s="5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1"/>
      <c r="G376" s="50"/>
      <c r="H376" s="5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1"/>
      <c r="G377" s="50"/>
      <c r="H377" s="5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1"/>
      <c r="G378" s="50"/>
      <c r="H378" s="5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1"/>
      <c r="G379" s="50"/>
      <c r="H379" s="5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1"/>
      <c r="G380" s="50"/>
      <c r="H380" s="5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1"/>
      <c r="G381" s="50"/>
      <c r="H381" s="5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1"/>
      <c r="G382" s="50"/>
      <c r="H382" s="5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1"/>
      <c r="G383" s="50"/>
      <c r="H383" s="5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1"/>
      <c r="G384" s="50"/>
      <c r="H384" s="5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1"/>
      <c r="G385" s="50"/>
      <c r="H385" s="5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1"/>
      <c r="G386" s="50"/>
      <c r="H386" s="5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1"/>
      <c r="G387" s="50"/>
      <c r="H387" s="5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1"/>
      <c r="G388" s="50"/>
      <c r="H388" s="5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1"/>
      <c r="G389" s="50"/>
      <c r="H389" s="5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1"/>
      <c r="G390" s="50"/>
      <c r="H390" s="5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1"/>
      <c r="G391" s="50"/>
      <c r="H391" s="5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1"/>
      <c r="G392" s="50"/>
      <c r="H392" s="5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1"/>
      <c r="G393" s="50"/>
      <c r="H393" s="5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1"/>
      <c r="G394" s="50"/>
      <c r="H394" s="5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1"/>
      <c r="G395" s="50"/>
      <c r="H395" s="5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1"/>
      <c r="G396" s="50"/>
      <c r="H396" s="5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1"/>
      <c r="G397" s="50"/>
      <c r="H397" s="5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1"/>
      <c r="G398" s="50"/>
      <c r="H398" s="5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1"/>
      <c r="G399" s="50"/>
      <c r="H399" s="5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1"/>
      <c r="G400" s="50"/>
      <c r="H400" s="5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1"/>
      <c r="G401" s="50"/>
      <c r="H401" s="5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1"/>
      <c r="G402" s="50"/>
      <c r="H402" s="5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1"/>
      <c r="G403" s="50"/>
      <c r="H403" s="5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1"/>
      <c r="G404" s="50"/>
      <c r="H404" s="5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1"/>
      <c r="G405" s="50"/>
      <c r="H405" s="5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1"/>
      <c r="G406" s="50"/>
      <c r="H406" s="5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1"/>
      <c r="G407" s="50"/>
      <c r="H407" s="5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1"/>
      <c r="G408" s="50"/>
      <c r="H408" s="5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1"/>
      <c r="G409" s="50"/>
      <c r="H409" s="5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1"/>
      <c r="G410" s="50"/>
      <c r="H410" s="5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1"/>
      <c r="G411" s="50"/>
      <c r="H411" s="5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1"/>
      <c r="G412" s="50"/>
      <c r="H412" s="5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1"/>
      <c r="G413" s="50"/>
      <c r="H413" s="5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1"/>
      <c r="G414" s="50"/>
      <c r="H414" s="5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1"/>
      <c r="G415" s="50"/>
      <c r="H415" s="5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1"/>
      <c r="G416" s="50"/>
      <c r="H416" s="5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1"/>
      <c r="G417" s="50"/>
      <c r="H417" s="5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1"/>
      <c r="G418" s="50"/>
      <c r="H418" s="5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1"/>
      <c r="G419" s="50"/>
      <c r="H419" s="5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1"/>
      <c r="G420" s="50"/>
      <c r="H420" s="5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1"/>
      <c r="G421" s="50"/>
      <c r="H421" s="5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1"/>
      <c r="G422" s="50"/>
      <c r="H422" s="5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1"/>
      <c r="G423" s="50"/>
      <c r="H423" s="5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1"/>
      <c r="G424" s="50"/>
      <c r="H424" s="5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1"/>
      <c r="G425" s="50"/>
      <c r="H425" s="5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1"/>
      <c r="G426" s="50"/>
      <c r="H426" s="5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1"/>
      <c r="G427" s="50"/>
      <c r="H427" s="5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1"/>
      <c r="G428" s="50"/>
      <c r="H428" s="5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1"/>
      <c r="G429" s="50"/>
      <c r="H429" s="5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1"/>
      <c r="G430" s="50"/>
      <c r="H430" s="5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1"/>
      <c r="G431" s="50"/>
      <c r="H431" s="5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1"/>
      <c r="G432" s="50"/>
      <c r="H432" s="5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1"/>
      <c r="G433" s="50"/>
      <c r="H433" s="5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1"/>
      <c r="G434" s="50"/>
      <c r="H434" s="5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1"/>
      <c r="G435" s="50"/>
      <c r="H435" s="5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1"/>
      <c r="G436" s="50"/>
      <c r="H436" s="5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1"/>
      <c r="G437" s="50"/>
      <c r="H437" s="5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1"/>
      <c r="G438" s="50"/>
      <c r="H438" s="5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1"/>
      <c r="G439" s="50"/>
      <c r="H439" s="5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1"/>
      <c r="G440" s="50"/>
      <c r="H440" s="5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1"/>
      <c r="G441" s="50"/>
      <c r="H441" s="5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1"/>
      <c r="G442" s="50"/>
      <c r="H442" s="5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1"/>
      <c r="G443" s="50"/>
      <c r="H443" s="5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1"/>
      <c r="G444" s="50"/>
      <c r="H444" s="5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1"/>
      <c r="G445" s="50"/>
      <c r="H445" s="5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1"/>
      <c r="G446" s="50"/>
      <c r="H446" s="5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1"/>
      <c r="G447" s="50"/>
      <c r="H447" s="5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1"/>
      <c r="G448" s="50"/>
      <c r="H448" s="5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1"/>
      <c r="G449" s="50"/>
      <c r="H449" s="5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1"/>
      <c r="G450" s="50"/>
      <c r="H450" s="5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1"/>
      <c r="G451" s="50"/>
      <c r="H451" s="5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1"/>
      <c r="G452" s="50"/>
      <c r="H452" s="5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1"/>
      <c r="G453" s="50"/>
      <c r="H453" s="5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1"/>
      <c r="G454" s="50"/>
      <c r="H454" s="5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1"/>
      <c r="G455" s="50"/>
      <c r="H455" s="5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1"/>
      <c r="G456" s="50"/>
      <c r="H456" s="5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1"/>
      <c r="G457" s="50"/>
      <c r="H457" s="5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1"/>
      <c r="G458" s="50"/>
      <c r="H458" s="5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1"/>
      <c r="G459" s="50"/>
      <c r="H459" s="5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1"/>
      <c r="G460" s="50"/>
      <c r="H460" s="5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1"/>
      <c r="G461" s="50"/>
      <c r="H461" s="5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1"/>
      <c r="G462" s="50"/>
      <c r="H462" s="5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1"/>
      <c r="G463" s="50"/>
      <c r="H463" s="5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1"/>
      <c r="G464" s="50"/>
      <c r="H464" s="5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1"/>
      <c r="G465" s="50"/>
      <c r="H465" s="5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1"/>
      <c r="G466" s="50"/>
      <c r="H466" s="5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1"/>
      <c r="G467" s="50"/>
      <c r="H467" s="5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1"/>
      <c r="G468" s="50"/>
      <c r="H468" s="5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1"/>
      <c r="G469" s="50"/>
      <c r="H469" s="5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1"/>
      <c r="G470" s="50"/>
      <c r="H470" s="5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1"/>
      <c r="G471" s="50"/>
      <c r="H471" s="5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1"/>
      <c r="G472" s="50"/>
      <c r="H472" s="5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1"/>
      <c r="G473" s="50"/>
      <c r="H473" s="5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1"/>
      <c r="G474" s="50"/>
      <c r="H474" s="5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1"/>
      <c r="G475" s="50"/>
      <c r="H475" s="5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1"/>
      <c r="G476" s="50"/>
      <c r="H476" s="5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1"/>
      <c r="G477" s="50"/>
      <c r="H477" s="5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1"/>
      <c r="G478" s="50"/>
      <c r="H478" s="5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1"/>
      <c r="G479" s="50"/>
      <c r="H479" s="5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1"/>
      <c r="G480" s="50"/>
      <c r="H480" s="5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1"/>
      <c r="G481" s="50"/>
      <c r="H481" s="5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1"/>
      <c r="G482" s="50"/>
      <c r="H482" s="5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1"/>
      <c r="G483" s="50"/>
      <c r="H483" s="5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1"/>
      <c r="G484" s="50"/>
      <c r="H484" s="5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1"/>
      <c r="G485" s="50"/>
      <c r="H485" s="5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1"/>
      <c r="G486" s="50"/>
      <c r="H486" s="5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1"/>
      <c r="G487" s="50"/>
      <c r="H487" s="5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1"/>
      <c r="G488" s="50"/>
      <c r="H488" s="5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1"/>
      <c r="G489" s="50"/>
      <c r="H489" s="5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1"/>
      <c r="G490" s="50"/>
      <c r="H490" s="5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1"/>
      <c r="G491" s="50"/>
      <c r="H491" s="5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1"/>
      <c r="G492" s="50"/>
      <c r="H492" s="5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1"/>
      <c r="G493" s="50"/>
      <c r="H493" s="5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1"/>
      <c r="G494" s="50"/>
      <c r="H494" s="5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1"/>
      <c r="G495" s="50"/>
      <c r="H495" s="5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1"/>
      <c r="G496" s="50"/>
      <c r="H496" s="5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1"/>
      <c r="G497" s="50"/>
      <c r="H497" s="5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1"/>
      <c r="G498" s="50"/>
      <c r="H498" s="5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1"/>
      <c r="G499" s="50"/>
      <c r="H499" s="5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1"/>
      <c r="G500" s="50"/>
      <c r="H500" s="5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1"/>
      <c r="G501" s="50"/>
      <c r="H501" s="5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1"/>
      <c r="G502" s="50"/>
      <c r="H502" s="5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1"/>
      <c r="G503" s="50"/>
      <c r="H503" s="5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1"/>
      <c r="G504" s="50"/>
      <c r="H504" s="5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1"/>
      <c r="G505" s="50"/>
      <c r="H505" s="5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1"/>
      <c r="G506" s="50"/>
      <c r="H506" s="5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1"/>
      <c r="G507" s="50"/>
      <c r="H507" s="5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1"/>
      <c r="G508" s="50"/>
      <c r="H508" s="5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1"/>
      <c r="G509" s="50"/>
      <c r="H509" s="5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1"/>
      <c r="G510" s="50"/>
      <c r="H510" s="5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1"/>
      <c r="G511" s="50"/>
      <c r="H511" s="5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1"/>
      <c r="G512" s="50"/>
      <c r="H512" s="5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1"/>
      <c r="G513" s="50"/>
      <c r="H513" s="5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1"/>
      <c r="G514" s="50"/>
      <c r="H514" s="5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1"/>
      <c r="G515" s="50"/>
      <c r="H515" s="5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1"/>
      <c r="G516" s="50"/>
      <c r="H516" s="5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1"/>
      <c r="G517" s="50"/>
      <c r="H517" s="5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1"/>
      <c r="G518" s="50"/>
      <c r="H518" s="5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1"/>
      <c r="G519" s="50"/>
      <c r="H519" s="5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1"/>
      <c r="G520" s="50"/>
      <c r="H520" s="5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1"/>
      <c r="G521" s="50"/>
      <c r="H521" s="5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1"/>
      <c r="G522" s="50"/>
      <c r="H522" s="5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1"/>
      <c r="G523" s="50"/>
      <c r="H523" s="5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1"/>
      <c r="G524" s="50"/>
      <c r="H524" s="5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1"/>
      <c r="G525" s="50"/>
      <c r="H525" s="5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1"/>
      <c r="G526" s="50"/>
      <c r="H526" s="5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1"/>
      <c r="G527" s="50"/>
      <c r="H527" s="5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1"/>
      <c r="G528" s="50"/>
      <c r="H528" s="5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1"/>
      <c r="G529" s="50"/>
      <c r="H529" s="5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1"/>
      <c r="G530" s="50"/>
      <c r="H530" s="5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1"/>
      <c r="G531" s="50"/>
      <c r="H531" s="5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1"/>
      <c r="G532" s="50"/>
      <c r="H532" s="5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1"/>
      <c r="G533" s="50"/>
      <c r="H533" s="5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1"/>
      <c r="G534" s="50"/>
      <c r="H534" s="5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1"/>
      <c r="G535" s="50"/>
      <c r="H535" s="5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1"/>
      <c r="G536" s="50"/>
      <c r="H536" s="5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1"/>
      <c r="G537" s="50"/>
      <c r="H537" s="5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1"/>
      <c r="G538" s="50"/>
      <c r="H538" s="5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1"/>
      <c r="G539" s="50"/>
      <c r="H539" s="5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1"/>
      <c r="G540" s="50"/>
      <c r="H540" s="5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1"/>
      <c r="G541" s="50"/>
      <c r="H541" s="5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1"/>
      <c r="G542" s="50"/>
      <c r="H542" s="5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1"/>
      <c r="G543" s="50"/>
      <c r="H543" s="5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1"/>
      <c r="G544" s="50"/>
      <c r="H544" s="5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1"/>
      <c r="G545" s="50"/>
      <c r="H545" s="5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1"/>
      <c r="G546" s="50"/>
      <c r="H546" s="5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1"/>
      <c r="G547" s="50"/>
      <c r="H547" s="5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1"/>
      <c r="G548" s="50"/>
      <c r="H548" s="5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1"/>
      <c r="G549" s="50"/>
      <c r="H549" s="5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1"/>
      <c r="G550" s="50"/>
      <c r="H550" s="5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1"/>
      <c r="G551" s="50"/>
      <c r="H551" s="5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1"/>
      <c r="G552" s="50"/>
      <c r="H552" s="5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1"/>
      <c r="G553" s="50"/>
      <c r="H553" s="5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1"/>
      <c r="G554" s="50"/>
      <c r="H554" s="5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1"/>
      <c r="G555" s="50"/>
      <c r="H555" s="5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1"/>
      <c r="G556" s="50"/>
      <c r="H556" s="5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1"/>
      <c r="G557" s="50"/>
      <c r="H557" s="5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1"/>
      <c r="G558" s="50"/>
      <c r="H558" s="5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1"/>
      <c r="G559" s="50"/>
      <c r="H559" s="5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1"/>
      <c r="G560" s="50"/>
      <c r="H560" s="5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1"/>
      <c r="G561" s="50"/>
      <c r="H561" s="5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1"/>
      <c r="G562" s="50"/>
      <c r="H562" s="5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1"/>
      <c r="G563" s="50"/>
      <c r="H563" s="5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1"/>
      <c r="G564" s="50"/>
      <c r="H564" s="5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1"/>
      <c r="G565" s="50"/>
      <c r="H565" s="5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1"/>
      <c r="G566" s="50"/>
      <c r="H566" s="5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1"/>
      <c r="G567" s="50"/>
      <c r="H567" s="5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1"/>
      <c r="G568" s="50"/>
      <c r="H568" s="5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1"/>
      <c r="G569" s="50"/>
      <c r="H569" s="5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1"/>
      <c r="G570" s="50"/>
      <c r="H570" s="5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1"/>
      <c r="G571" s="50"/>
      <c r="H571" s="5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1"/>
      <c r="G572" s="50"/>
      <c r="H572" s="5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1"/>
      <c r="G573" s="50"/>
      <c r="H573" s="5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1"/>
      <c r="G574" s="50"/>
      <c r="H574" s="5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1"/>
      <c r="G575" s="50"/>
      <c r="H575" s="5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1"/>
      <c r="G576" s="50"/>
      <c r="H576" s="5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1"/>
      <c r="G577" s="50"/>
      <c r="H577" s="5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1"/>
      <c r="G578" s="50"/>
      <c r="H578" s="5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1"/>
      <c r="G579" s="50"/>
      <c r="H579" s="5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1"/>
      <c r="G580" s="50"/>
      <c r="H580" s="5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1"/>
      <c r="G581" s="50"/>
      <c r="H581" s="5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1"/>
      <c r="G582" s="50"/>
      <c r="H582" s="5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1"/>
      <c r="G583" s="50"/>
      <c r="H583" s="5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1"/>
      <c r="G584" s="50"/>
      <c r="H584" s="5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1"/>
      <c r="G585" s="50"/>
      <c r="H585" s="5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1"/>
      <c r="G586" s="50"/>
      <c r="H586" s="5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1"/>
      <c r="G587" s="50"/>
      <c r="H587" s="5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1"/>
      <c r="G588" s="50"/>
      <c r="H588" s="5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1"/>
      <c r="G589" s="50"/>
      <c r="H589" s="5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1"/>
      <c r="G590" s="50"/>
      <c r="H590" s="5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1"/>
      <c r="G591" s="50"/>
      <c r="H591" s="5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1"/>
      <c r="G592" s="50"/>
      <c r="H592" s="5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1"/>
      <c r="G593" s="50"/>
      <c r="H593" s="5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1"/>
      <c r="G594" s="50"/>
      <c r="H594" s="5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1"/>
      <c r="G595" s="50"/>
      <c r="H595" s="5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1"/>
      <c r="G596" s="50"/>
      <c r="H596" s="5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1"/>
      <c r="G597" s="50"/>
      <c r="H597" s="5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1"/>
      <c r="G598" s="50"/>
      <c r="H598" s="5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1"/>
      <c r="G599" s="50"/>
      <c r="H599" s="5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1"/>
      <c r="G600" s="50"/>
      <c r="H600" s="5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1"/>
      <c r="G601" s="50"/>
      <c r="H601" s="5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1"/>
      <c r="G602" s="50"/>
      <c r="H602" s="5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1"/>
      <c r="G603" s="50"/>
      <c r="H603" s="5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1"/>
      <c r="G604" s="50"/>
      <c r="H604" s="5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1"/>
      <c r="G605" s="50"/>
      <c r="H605" s="5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1"/>
      <c r="G606" s="50"/>
      <c r="H606" s="5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1"/>
      <c r="G607" s="50"/>
      <c r="H607" s="5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1"/>
      <c r="G608" s="50"/>
      <c r="H608" s="5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1"/>
      <c r="G609" s="50"/>
      <c r="H609" s="5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1"/>
      <c r="G610" s="50"/>
      <c r="H610" s="5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1"/>
      <c r="G611" s="50"/>
      <c r="H611" s="5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1"/>
      <c r="G612" s="50"/>
      <c r="H612" s="5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1"/>
      <c r="G613" s="50"/>
      <c r="H613" s="5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1"/>
      <c r="G614" s="50"/>
      <c r="H614" s="5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1"/>
      <c r="G615" s="50"/>
      <c r="H615" s="5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1"/>
      <c r="G616" s="50"/>
      <c r="H616" s="5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1"/>
      <c r="G617" s="50"/>
      <c r="H617" s="5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1"/>
      <c r="G618" s="50"/>
      <c r="H618" s="5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1"/>
      <c r="G619" s="50"/>
      <c r="H619" s="5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1"/>
      <c r="G620" s="50"/>
      <c r="H620" s="5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1"/>
      <c r="G621" s="50"/>
      <c r="H621" s="5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1"/>
      <c r="G622" s="50"/>
      <c r="H622" s="5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1"/>
      <c r="G623" s="50"/>
      <c r="H623" s="5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1"/>
      <c r="G624" s="50"/>
      <c r="H624" s="5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1"/>
      <c r="G625" s="50"/>
      <c r="H625" s="5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1"/>
      <c r="G626" s="50"/>
      <c r="H626" s="5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1"/>
      <c r="G627" s="50"/>
      <c r="H627" s="5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1"/>
      <c r="G628" s="50"/>
      <c r="H628" s="5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1"/>
      <c r="G629" s="50"/>
      <c r="H629" s="5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1"/>
      <c r="G630" s="50"/>
      <c r="H630" s="5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1"/>
      <c r="G631" s="50"/>
      <c r="H631" s="5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1"/>
      <c r="G632" s="50"/>
      <c r="H632" s="5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1"/>
      <c r="G633" s="50"/>
      <c r="H633" s="5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1"/>
      <c r="G634" s="50"/>
      <c r="H634" s="5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1"/>
      <c r="G635" s="50"/>
      <c r="H635" s="5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1"/>
      <c r="G636" s="50"/>
      <c r="H636" s="5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1"/>
      <c r="G637" s="50"/>
      <c r="H637" s="5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1"/>
      <c r="G638" s="50"/>
      <c r="H638" s="5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1"/>
      <c r="G639" s="50"/>
      <c r="H639" s="5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1"/>
      <c r="G640" s="50"/>
      <c r="H640" s="5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1"/>
      <c r="G641" s="50"/>
      <c r="H641" s="5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1"/>
      <c r="G642" s="50"/>
      <c r="H642" s="5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1"/>
      <c r="G643" s="50"/>
      <c r="H643" s="5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1"/>
      <c r="G644" s="50"/>
      <c r="H644" s="5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1"/>
      <c r="G645" s="50"/>
      <c r="H645" s="5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1"/>
      <c r="G646" s="50"/>
      <c r="H646" s="5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1"/>
      <c r="G647" s="50"/>
      <c r="H647" s="5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1"/>
      <c r="G648" s="50"/>
      <c r="H648" s="5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1"/>
      <c r="G649" s="50"/>
      <c r="H649" s="5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1"/>
      <c r="G650" s="50"/>
      <c r="H650" s="5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1"/>
      <c r="G651" s="50"/>
      <c r="H651" s="5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1"/>
      <c r="G652" s="50"/>
      <c r="H652" s="5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1"/>
      <c r="G653" s="50"/>
      <c r="H653" s="5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1"/>
      <c r="G654" s="50"/>
      <c r="H654" s="5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1"/>
      <c r="G655" s="50"/>
      <c r="H655" s="5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1"/>
      <c r="G656" s="50"/>
      <c r="H656" s="5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1"/>
      <c r="G657" s="50"/>
      <c r="H657" s="5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1"/>
      <c r="G658" s="50"/>
      <c r="H658" s="5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1"/>
      <c r="G659" s="50"/>
      <c r="H659" s="5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1"/>
      <c r="G660" s="50"/>
      <c r="H660" s="5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1"/>
      <c r="G661" s="50"/>
      <c r="H661" s="5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1"/>
      <c r="G662" s="50"/>
      <c r="H662" s="5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1"/>
      <c r="G663" s="50"/>
      <c r="H663" s="5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1"/>
      <c r="G664" s="50"/>
      <c r="H664" s="5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1"/>
      <c r="G665" s="50"/>
      <c r="H665" s="5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1"/>
      <c r="G666" s="50"/>
      <c r="H666" s="5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1"/>
      <c r="G667" s="50"/>
      <c r="H667" s="5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1"/>
      <c r="G668" s="50"/>
      <c r="H668" s="5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1"/>
      <c r="G669" s="50"/>
      <c r="H669" s="5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1"/>
      <c r="G670" s="50"/>
      <c r="H670" s="5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1"/>
      <c r="G671" s="50"/>
      <c r="H671" s="5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1"/>
      <c r="G672" s="50"/>
      <c r="H672" s="5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1"/>
      <c r="G673" s="50"/>
      <c r="H673" s="5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1"/>
      <c r="G674" s="50"/>
      <c r="H674" s="5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1"/>
      <c r="G675" s="50"/>
      <c r="H675" s="5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1"/>
      <c r="G676" s="50"/>
      <c r="H676" s="5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1"/>
      <c r="G677" s="50"/>
      <c r="H677" s="5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1"/>
      <c r="G678" s="50"/>
      <c r="H678" s="5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1"/>
      <c r="G679" s="50"/>
      <c r="H679" s="5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1"/>
      <c r="G680" s="50"/>
      <c r="H680" s="5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1"/>
      <c r="G681" s="50"/>
      <c r="H681" s="5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1"/>
      <c r="G682" s="50"/>
      <c r="H682" s="5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1"/>
      <c r="G683" s="50"/>
      <c r="H683" s="5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1"/>
      <c r="G684" s="50"/>
      <c r="H684" s="5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1"/>
      <c r="G685" s="50"/>
      <c r="H685" s="5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1"/>
      <c r="G686" s="50"/>
      <c r="H686" s="5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1"/>
      <c r="G687" s="50"/>
      <c r="H687" s="5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1"/>
      <c r="G688" s="50"/>
      <c r="H688" s="5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1"/>
      <c r="G689" s="50"/>
      <c r="H689" s="5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1"/>
      <c r="G690" s="50"/>
      <c r="H690" s="5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1"/>
      <c r="G691" s="50"/>
      <c r="H691" s="5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1"/>
      <c r="G692" s="50"/>
      <c r="H692" s="5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1"/>
      <c r="G693" s="50"/>
      <c r="H693" s="5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1"/>
      <c r="G694" s="50"/>
      <c r="H694" s="5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1"/>
      <c r="G695" s="50"/>
      <c r="H695" s="5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1"/>
      <c r="G696" s="50"/>
      <c r="H696" s="5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1"/>
      <c r="G697" s="50"/>
      <c r="H697" s="5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1"/>
      <c r="G698" s="50"/>
      <c r="H698" s="5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1"/>
      <c r="G699" s="50"/>
      <c r="H699" s="5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1"/>
      <c r="G700" s="50"/>
      <c r="H700" s="5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1"/>
      <c r="G701" s="50"/>
      <c r="H701" s="5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1"/>
      <c r="G702" s="50"/>
      <c r="H702" s="5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1"/>
      <c r="G703" s="50"/>
      <c r="H703" s="5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1"/>
      <c r="G704" s="50"/>
      <c r="H704" s="5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1"/>
      <c r="G705" s="50"/>
      <c r="H705" s="5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1"/>
      <c r="G706" s="50"/>
      <c r="H706" s="5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1"/>
      <c r="G707" s="50"/>
      <c r="H707" s="5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1"/>
      <c r="G708" s="50"/>
      <c r="H708" s="5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1"/>
      <c r="G709" s="50"/>
      <c r="H709" s="5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1"/>
      <c r="G710" s="50"/>
      <c r="H710" s="5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1"/>
      <c r="G711" s="50"/>
      <c r="H711" s="5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1"/>
      <c r="G712" s="50"/>
      <c r="H712" s="5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1"/>
      <c r="G713" s="50"/>
      <c r="H713" s="5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1"/>
      <c r="G714" s="50"/>
      <c r="H714" s="5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1"/>
      <c r="G715" s="50"/>
      <c r="H715" s="5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1"/>
      <c r="G716" s="50"/>
      <c r="H716" s="5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1"/>
      <c r="G717" s="50"/>
      <c r="H717" s="5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1"/>
      <c r="G718" s="50"/>
      <c r="H718" s="5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1"/>
      <c r="G719" s="50"/>
      <c r="H719" s="5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1"/>
      <c r="G720" s="50"/>
      <c r="H720" s="5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1"/>
      <c r="G721" s="50"/>
      <c r="H721" s="5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1"/>
      <c r="G722" s="50"/>
      <c r="H722" s="5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1"/>
      <c r="G723" s="50"/>
      <c r="H723" s="5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1"/>
      <c r="G724" s="50"/>
      <c r="H724" s="5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1"/>
      <c r="G725" s="50"/>
      <c r="H725" s="5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1"/>
      <c r="G726" s="50"/>
      <c r="H726" s="5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1"/>
      <c r="G727" s="50"/>
      <c r="H727" s="5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1"/>
      <c r="G728" s="50"/>
      <c r="H728" s="5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1"/>
      <c r="G729" s="50"/>
      <c r="H729" s="5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1"/>
      <c r="G730" s="50"/>
      <c r="H730" s="5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1"/>
      <c r="G731" s="50"/>
      <c r="H731" s="5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1"/>
      <c r="G732" s="50"/>
      <c r="H732" s="5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1"/>
      <c r="G733" s="50"/>
      <c r="H733" s="5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1"/>
      <c r="G734" s="50"/>
      <c r="H734" s="5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1"/>
      <c r="G735" s="50"/>
      <c r="H735" s="5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1"/>
      <c r="G736" s="50"/>
      <c r="H736" s="5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1"/>
      <c r="G737" s="50"/>
      <c r="H737" s="5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1"/>
      <c r="G738" s="50"/>
      <c r="H738" s="5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1"/>
      <c r="G739" s="50"/>
      <c r="H739" s="5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1"/>
      <c r="G740" s="50"/>
      <c r="H740" s="5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1"/>
      <c r="G741" s="50"/>
      <c r="H741" s="5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1"/>
      <c r="G742" s="50"/>
      <c r="H742" s="5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1"/>
      <c r="G743" s="50"/>
      <c r="H743" s="5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1"/>
      <c r="G744" s="50"/>
      <c r="H744" s="5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1"/>
      <c r="G745" s="50"/>
      <c r="H745" s="5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1"/>
      <c r="G746" s="50"/>
      <c r="H746" s="5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1"/>
      <c r="G747" s="50"/>
      <c r="H747" s="5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1"/>
      <c r="G748" s="50"/>
      <c r="H748" s="5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1"/>
      <c r="G749" s="50"/>
      <c r="H749" s="5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1"/>
      <c r="G750" s="50"/>
      <c r="H750" s="5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1"/>
      <c r="G751" s="50"/>
      <c r="H751" s="5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1"/>
      <c r="G752" s="50"/>
      <c r="H752" s="5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1"/>
      <c r="G753" s="50"/>
      <c r="H753" s="5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1"/>
      <c r="G754" s="50"/>
      <c r="H754" s="5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1"/>
      <c r="G755" s="50"/>
      <c r="H755" s="5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1"/>
      <c r="G756" s="50"/>
      <c r="H756" s="5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1"/>
      <c r="G757" s="50"/>
      <c r="H757" s="5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1"/>
      <c r="G758" s="50"/>
      <c r="H758" s="5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1"/>
      <c r="G759" s="50"/>
      <c r="H759" s="5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1"/>
      <c r="G760" s="50"/>
      <c r="H760" s="5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1"/>
      <c r="G761" s="50"/>
      <c r="H761" s="5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1"/>
      <c r="G762" s="50"/>
      <c r="H762" s="5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1"/>
      <c r="G763" s="50"/>
      <c r="H763" s="5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1"/>
      <c r="G764" s="50"/>
      <c r="H764" s="5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1"/>
      <c r="G765" s="50"/>
      <c r="H765" s="5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1"/>
      <c r="G766" s="50"/>
      <c r="H766" s="5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1"/>
      <c r="G767" s="50"/>
      <c r="H767" s="5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1"/>
      <c r="G768" s="50"/>
      <c r="H768" s="5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1"/>
      <c r="G769" s="50"/>
      <c r="H769" s="5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1"/>
      <c r="G770" s="50"/>
      <c r="H770" s="5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1"/>
      <c r="G771" s="50"/>
      <c r="H771" s="5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1"/>
      <c r="G772" s="50"/>
      <c r="H772" s="5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1"/>
      <c r="G773" s="50"/>
      <c r="H773" s="5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1"/>
      <c r="G774" s="50"/>
      <c r="H774" s="5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1"/>
      <c r="G775" s="50"/>
      <c r="H775" s="5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1"/>
      <c r="G776" s="50"/>
      <c r="H776" s="5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1"/>
      <c r="G777" s="50"/>
      <c r="H777" s="5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1"/>
      <c r="G778" s="50"/>
      <c r="H778" s="5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1"/>
      <c r="G779" s="50"/>
      <c r="H779" s="5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1"/>
      <c r="G780" s="50"/>
      <c r="H780" s="5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1"/>
      <c r="G781" s="50"/>
      <c r="H781" s="5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1"/>
      <c r="G782" s="50"/>
      <c r="H782" s="5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1"/>
      <c r="G783" s="50"/>
      <c r="H783" s="5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1"/>
      <c r="G784" s="50"/>
      <c r="H784" s="5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1"/>
      <c r="G785" s="50"/>
      <c r="H785" s="5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1"/>
      <c r="G786" s="50"/>
      <c r="H786" s="5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1"/>
      <c r="G787" s="50"/>
      <c r="H787" s="5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1"/>
      <c r="G788" s="50"/>
      <c r="H788" s="5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1"/>
      <c r="G789" s="50"/>
      <c r="H789" s="5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1"/>
      <c r="G790" s="50"/>
      <c r="H790" s="5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1"/>
      <c r="G791" s="50"/>
      <c r="H791" s="5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1"/>
      <c r="G792" s="50"/>
      <c r="H792" s="5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1"/>
      <c r="G793" s="50"/>
      <c r="H793" s="5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1"/>
      <c r="G794" s="50"/>
      <c r="H794" s="5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1"/>
      <c r="G795" s="50"/>
      <c r="H795" s="5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1"/>
      <c r="G796" s="50"/>
      <c r="H796" s="5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1"/>
      <c r="G797" s="50"/>
      <c r="H797" s="5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1"/>
      <c r="G798" s="50"/>
      <c r="H798" s="5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1"/>
      <c r="G799" s="50"/>
      <c r="H799" s="5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1"/>
      <c r="G800" s="50"/>
      <c r="H800" s="5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1"/>
      <c r="G801" s="50"/>
      <c r="H801" s="5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1"/>
      <c r="G802" s="50"/>
      <c r="H802" s="5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1"/>
      <c r="G803" s="50"/>
      <c r="H803" s="5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1"/>
      <c r="G804" s="50"/>
      <c r="H804" s="5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1"/>
      <c r="G805" s="50"/>
      <c r="H805" s="5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1"/>
      <c r="G806" s="50"/>
      <c r="H806" s="5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1"/>
      <c r="G807" s="50"/>
      <c r="H807" s="5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1"/>
      <c r="G808" s="50"/>
      <c r="H808" s="5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1"/>
      <c r="G809" s="50"/>
      <c r="H809" s="5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1"/>
      <c r="G810" s="50"/>
      <c r="H810" s="5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1"/>
      <c r="G811" s="50"/>
      <c r="H811" s="5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1"/>
      <c r="G812" s="50"/>
      <c r="H812" s="5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1"/>
      <c r="G813" s="50"/>
      <c r="H813" s="5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1"/>
      <c r="G814" s="50"/>
      <c r="H814" s="5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1"/>
      <c r="G815" s="50"/>
      <c r="H815" s="5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1"/>
      <c r="G816" s="50"/>
      <c r="H816" s="5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1"/>
      <c r="G817" s="50"/>
      <c r="H817" s="5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1"/>
      <c r="G818" s="50"/>
      <c r="H818" s="5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1"/>
      <c r="G819" s="50"/>
      <c r="H819" s="5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1"/>
      <c r="G820" s="50"/>
      <c r="H820" s="5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1"/>
      <c r="G821" s="50"/>
      <c r="H821" s="5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1"/>
      <c r="G822" s="50"/>
      <c r="H822" s="5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1"/>
      <c r="G823" s="50"/>
      <c r="H823" s="5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1"/>
      <c r="G824" s="50"/>
      <c r="H824" s="5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1"/>
      <c r="G825" s="50"/>
      <c r="H825" s="5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1"/>
      <c r="G826" s="50"/>
      <c r="H826" s="5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1"/>
      <c r="G827" s="50"/>
      <c r="H827" s="5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1"/>
      <c r="G828" s="50"/>
      <c r="H828" s="5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1"/>
      <c r="G829" s="50"/>
      <c r="H829" s="5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1"/>
      <c r="G830" s="50"/>
      <c r="H830" s="5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1"/>
      <c r="G831" s="50"/>
      <c r="H831" s="5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1"/>
      <c r="G832" s="50"/>
      <c r="H832" s="5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1"/>
      <c r="G833" s="50"/>
      <c r="H833" s="5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1"/>
      <c r="G834" s="50"/>
      <c r="H834" s="5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1"/>
      <c r="G835" s="50"/>
      <c r="H835" s="5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1"/>
      <c r="G836" s="50"/>
      <c r="H836" s="5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1"/>
      <c r="G837" s="50"/>
      <c r="H837" s="5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1"/>
      <c r="G838" s="50"/>
      <c r="H838" s="5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1"/>
      <c r="G839" s="50"/>
      <c r="H839" s="5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1"/>
      <c r="G840" s="50"/>
      <c r="H840" s="5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1"/>
      <c r="G841" s="50"/>
      <c r="H841" s="5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1"/>
      <c r="G842" s="50"/>
      <c r="H842" s="5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1"/>
      <c r="G843" s="50"/>
      <c r="H843" s="5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1"/>
      <c r="G844" s="50"/>
      <c r="H844" s="5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1"/>
      <c r="G845" s="50"/>
      <c r="H845" s="5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1"/>
      <c r="G846" s="50"/>
      <c r="H846" s="5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1"/>
      <c r="G847" s="50"/>
      <c r="H847" s="5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1"/>
      <c r="G848" s="50"/>
      <c r="H848" s="5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1"/>
      <c r="G849" s="50"/>
      <c r="H849" s="5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1"/>
      <c r="G850" s="50"/>
      <c r="H850" s="5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1"/>
      <c r="G851" s="50"/>
      <c r="H851" s="5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1"/>
      <c r="G852" s="50"/>
      <c r="H852" s="5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1"/>
      <c r="G853" s="50"/>
      <c r="H853" s="5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1"/>
      <c r="G854" s="50"/>
      <c r="H854" s="5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1"/>
      <c r="G855" s="50"/>
      <c r="H855" s="5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1"/>
      <c r="G856" s="50"/>
      <c r="H856" s="5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1"/>
      <c r="G857" s="50"/>
      <c r="H857" s="5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1"/>
      <c r="G858" s="50"/>
      <c r="H858" s="5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1"/>
      <c r="G859" s="50"/>
      <c r="H859" s="5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1"/>
      <c r="G860" s="50"/>
      <c r="H860" s="5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1"/>
      <c r="G861" s="50"/>
      <c r="H861" s="5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1"/>
      <c r="G862" s="50"/>
      <c r="H862" s="5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1"/>
      <c r="G863" s="50"/>
      <c r="H863" s="5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1"/>
      <c r="G864" s="50"/>
      <c r="H864" s="5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1"/>
      <c r="G865" s="50"/>
      <c r="H865" s="5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1"/>
      <c r="G866" s="50"/>
      <c r="H866" s="5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1"/>
      <c r="G867" s="50"/>
      <c r="H867" s="5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1"/>
      <c r="G868" s="50"/>
      <c r="H868" s="5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1"/>
      <c r="G869" s="50"/>
      <c r="H869" s="5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1"/>
      <c r="G870" s="50"/>
      <c r="H870" s="5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1"/>
      <c r="G871" s="50"/>
      <c r="H871" s="5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1"/>
      <c r="G872" s="50"/>
      <c r="H872" s="5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1"/>
      <c r="G873" s="50"/>
      <c r="H873" s="5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1"/>
      <c r="G874" s="50"/>
      <c r="H874" s="5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1"/>
      <c r="G875" s="50"/>
      <c r="H875" s="5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1"/>
      <c r="G876" s="50"/>
      <c r="H876" s="5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1"/>
      <c r="G877" s="50"/>
      <c r="H877" s="5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1"/>
      <c r="G878" s="50"/>
      <c r="H878" s="5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1"/>
      <c r="G879" s="50"/>
      <c r="H879" s="5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1"/>
      <c r="G880" s="50"/>
      <c r="H880" s="5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1"/>
      <c r="G881" s="50"/>
      <c r="H881" s="5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1"/>
      <c r="G882" s="50"/>
      <c r="H882" s="5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1"/>
      <c r="G883" s="50"/>
      <c r="H883" s="5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1"/>
      <c r="G884" s="50"/>
      <c r="H884" s="5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1"/>
      <c r="G885" s="50"/>
      <c r="H885" s="5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1"/>
      <c r="G886" s="50"/>
      <c r="H886" s="5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1"/>
      <c r="G887" s="50"/>
      <c r="H887" s="5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1"/>
      <c r="G888" s="50"/>
      <c r="H888" s="5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1"/>
      <c r="G889" s="50"/>
      <c r="H889" s="5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1"/>
      <c r="G890" s="50"/>
      <c r="H890" s="5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1"/>
      <c r="G891" s="50"/>
      <c r="H891" s="5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1"/>
      <c r="G892" s="50"/>
      <c r="H892" s="5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1"/>
      <c r="G893" s="50"/>
      <c r="H893" s="5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1"/>
      <c r="G894" s="50"/>
      <c r="H894" s="5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1"/>
      <c r="G895" s="50"/>
      <c r="H895" s="5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1"/>
      <c r="G896" s="50"/>
      <c r="H896" s="5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1"/>
      <c r="G897" s="50"/>
      <c r="H897" s="5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1"/>
      <c r="G898" s="50"/>
      <c r="H898" s="5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1"/>
      <c r="G899" s="50"/>
      <c r="H899" s="5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1"/>
      <c r="G900" s="50"/>
      <c r="H900" s="5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1"/>
      <c r="G901" s="50"/>
      <c r="H901" s="5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1"/>
      <c r="G902" s="50"/>
      <c r="H902" s="5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1"/>
      <c r="G903" s="50"/>
      <c r="H903" s="5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1"/>
      <c r="G904" s="50"/>
      <c r="H904" s="5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1"/>
      <c r="G905" s="50"/>
      <c r="H905" s="5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1"/>
      <c r="G906" s="50"/>
      <c r="H906" s="5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1"/>
      <c r="G907" s="50"/>
      <c r="H907" s="5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1"/>
      <c r="G908" s="50"/>
      <c r="H908" s="5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1"/>
      <c r="G909" s="50"/>
      <c r="H909" s="5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1"/>
      <c r="G910" s="50"/>
      <c r="H910" s="5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1"/>
      <c r="G911" s="50"/>
      <c r="H911" s="5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1"/>
      <c r="G912" s="50"/>
      <c r="H912" s="5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1"/>
      <c r="G913" s="50"/>
      <c r="H913" s="5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1"/>
      <c r="G914" s="50"/>
      <c r="H914" s="5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1"/>
      <c r="G915" s="50"/>
      <c r="H915" s="5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1"/>
      <c r="G916" s="50"/>
      <c r="H916" s="5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1"/>
      <c r="G917" s="50"/>
      <c r="H917" s="5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1"/>
      <c r="G918" s="50"/>
      <c r="H918" s="5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1"/>
      <c r="G919" s="50"/>
      <c r="H919" s="5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1"/>
      <c r="G920" s="50"/>
      <c r="H920" s="5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1"/>
      <c r="G921" s="50"/>
      <c r="H921" s="5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1"/>
      <c r="G922" s="50"/>
      <c r="H922" s="5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1"/>
      <c r="G923" s="50"/>
      <c r="H923" s="5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1"/>
      <c r="G924" s="50"/>
      <c r="H924" s="5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1"/>
      <c r="G925" s="50"/>
      <c r="H925" s="5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1"/>
      <c r="G926" s="50"/>
      <c r="H926" s="5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1"/>
      <c r="G927" s="50"/>
      <c r="H927" s="5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1"/>
      <c r="G928" s="50"/>
      <c r="H928" s="5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1"/>
      <c r="G929" s="50"/>
      <c r="H929" s="5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1"/>
      <c r="G930" s="50"/>
      <c r="H930" s="5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1"/>
      <c r="G931" s="50"/>
      <c r="H931" s="5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1"/>
      <c r="G932" s="50"/>
      <c r="H932" s="5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1"/>
      <c r="G933" s="50"/>
      <c r="H933" s="5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1"/>
      <c r="G934" s="50"/>
      <c r="H934" s="5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1"/>
      <c r="G935" s="50"/>
      <c r="H935" s="5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1"/>
      <c r="G936" s="50"/>
      <c r="H936" s="5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1"/>
      <c r="G937" s="50"/>
      <c r="H937" s="5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1"/>
      <c r="G938" s="50"/>
      <c r="H938" s="5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1"/>
      <c r="G939" s="50"/>
      <c r="H939" s="5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1"/>
      <c r="G940" s="50"/>
      <c r="H940" s="5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1"/>
      <c r="G941" s="50"/>
      <c r="H941" s="5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1"/>
      <c r="G942" s="50"/>
      <c r="H942" s="5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1"/>
      <c r="G943" s="50"/>
      <c r="H943" s="5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1"/>
      <c r="G944" s="50"/>
      <c r="H944" s="5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1"/>
      <c r="G945" s="50"/>
      <c r="H945" s="5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1"/>
      <c r="G946" s="50"/>
      <c r="H946" s="5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1"/>
      <c r="G947" s="50"/>
      <c r="H947" s="5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1"/>
      <c r="G948" s="50"/>
      <c r="H948" s="5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1"/>
      <c r="G949" s="50"/>
      <c r="H949" s="5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1"/>
      <c r="G950" s="50"/>
      <c r="H950" s="5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1"/>
      <c r="G951" s="50"/>
      <c r="H951" s="5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1"/>
      <c r="G952" s="50"/>
      <c r="H952" s="5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1"/>
      <c r="G953" s="50"/>
      <c r="H953" s="5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1"/>
      <c r="G954" s="50"/>
      <c r="H954" s="5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1"/>
      <c r="G955" s="50"/>
      <c r="H955" s="5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1"/>
      <c r="G956" s="50"/>
      <c r="H956" s="5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1"/>
      <c r="G957" s="50"/>
      <c r="H957" s="5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1"/>
      <c r="G958" s="50"/>
      <c r="H958" s="5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1"/>
      <c r="G959" s="50"/>
      <c r="H959" s="5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1"/>
      <c r="G960" s="50"/>
      <c r="H960" s="5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1"/>
      <c r="G961" s="50"/>
      <c r="H961" s="5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1"/>
      <c r="G962" s="50"/>
      <c r="H962" s="5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1"/>
      <c r="G963" s="50"/>
      <c r="H963" s="5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1"/>
      <c r="G964" s="50"/>
      <c r="H964" s="5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1"/>
      <c r="G965" s="50"/>
      <c r="H965" s="5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1"/>
      <c r="G966" s="50"/>
      <c r="H966" s="5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1"/>
      <c r="G967" s="50"/>
      <c r="H967" s="5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1"/>
      <c r="G968" s="50"/>
      <c r="H968" s="5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1"/>
      <c r="G969" s="50"/>
      <c r="H969" s="5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1"/>
      <c r="G970" s="50"/>
      <c r="H970" s="5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1"/>
      <c r="G971" s="50"/>
      <c r="H971" s="5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1"/>
      <c r="G972" s="50"/>
      <c r="H972" s="5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1"/>
      <c r="G973" s="50"/>
      <c r="H973" s="5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1"/>
      <c r="G974" s="50"/>
      <c r="H974" s="5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1"/>
      <c r="G975" s="50"/>
      <c r="H975" s="5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1"/>
      <c r="G976" s="50"/>
      <c r="H976" s="5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1"/>
      <c r="G977" s="50"/>
      <c r="H977" s="5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1"/>
      <c r="G978" s="50"/>
      <c r="H978" s="5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1"/>
      <c r="G979" s="50"/>
      <c r="H979" s="5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1"/>
      <c r="G980" s="50"/>
      <c r="H980" s="5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1"/>
      <c r="G981" s="50"/>
      <c r="H981" s="5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1"/>
      <c r="G982" s="50"/>
      <c r="H982" s="5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1"/>
      <c r="G983" s="50"/>
      <c r="H983" s="5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1"/>
      <c r="G984" s="50"/>
      <c r="H984" s="5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1"/>
      <c r="G985" s="50"/>
      <c r="H985" s="5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1"/>
      <c r="G986" s="50"/>
      <c r="H986" s="5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1"/>
      <c r="G987" s="50"/>
      <c r="H987" s="5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1"/>
      <c r="G988" s="50"/>
      <c r="H988" s="5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1"/>
      <c r="G989" s="50"/>
      <c r="H989" s="5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1"/>
      <c r="G990" s="50"/>
      <c r="H990" s="5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1"/>
      <c r="G991" s="50"/>
      <c r="H991" s="5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1"/>
      <c r="G992" s="50"/>
      <c r="H992" s="5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1"/>
      <c r="G993" s="50"/>
      <c r="H993" s="5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1"/>
      <c r="G994" s="50"/>
      <c r="H994" s="5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1"/>
      <c r="G995" s="50"/>
      <c r="H995" s="5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1"/>
      <c r="G996" s="50"/>
      <c r="H996" s="5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1"/>
      <c r="G997" s="50"/>
      <c r="H997" s="5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1"/>
      <c r="G998" s="50"/>
      <c r="H998" s="5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1"/>
      <c r="G999" s="50"/>
      <c r="H999" s="5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1"/>
      <c r="G1000" s="50"/>
      <c r="H1000" s="5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1"/>
      <c r="G1001" s="50"/>
      <c r="H1001" s="5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5" x14ac:dyDescent="0.25">
      <c r="A1002" s="1"/>
      <c r="B1002" s="1"/>
      <c r="C1002" s="1"/>
      <c r="D1002" s="1"/>
      <c r="E1002" s="1"/>
      <c r="F1002" s="1"/>
      <c r="G1002" s="50"/>
      <c r="H1002" s="5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5" x14ac:dyDescent="0.25">
      <c r="A1003" s="1"/>
      <c r="B1003" s="1"/>
      <c r="C1003" s="1"/>
      <c r="D1003" s="1"/>
      <c r="E1003" s="1"/>
      <c r="F1003" s="1"/>
      <c r="G1003" s="50"/>
      <c r="H1003" s="5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5" x14ac:dyDescent="0.25">
      <c r="A1004" s="1"/>
      <c r="B1004" s="1"/>
      <c r="C1004" s="1"/>
      <c r="D1004" s="1"/>
      <c r="E1004" s="1"/>
      <c r="F1004" s="1"/>
      <c r="G1004" s="50"/>
      <c r="H1004" s="5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5" x14ac:dyDescent="0.25">
      <c r="A1005" s="1"/>
      <c r="B1005" s="1"/>
      <c r="C1005" s="1"/>
      <c r="D1005" s="1"/>
      <c r="E1005" s="1"/>
      <c r="F1005" s="1"/>
      <c r="G1005" s="50"/>
      <c r="H1005" s="5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5" x14ac:dyDescent="0.25">
      <c r="A1006" s="1"/>
      <c r="B1006" s="1"/>
      <c r="C1006" s="1"/>
      <c r="D1006" s="1"/>
      <c r="E1006" s="1"/>
      <c r="F1006" s="1"/>
      <c r="G1006" s="50"/>
      <c r="H1006" s="5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</sheetData>
  <mergeCells count="3">
    <mergeCell ref="B3:I3"/>
    <mergeCell ref="B13:I13"/>
    <mergeCell ref="B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27"/>
  <sheetViews>
    <sheetView topLeftCell="A40" workbookViewId="0">
      <selection activeCell="J53" sqref="J53"/>
    </sheetView>
  </sheetViews>
  <sheetFormatPr baseColWidth="10" defaultColWidth="12.6328125" defaultRowHeight="15.75" customHeight="1" x14ac:dyDescent="0.25"/>
  <cols>
    <col min="1" max="1" width="7.7265625" customWidth="1"/>
    <col min="2" max="2" width="28.36328125" customWidth="1"/>
    <col min="3" max="3" width="21.08984375" customWidth="1"/>
    <col min="4" max="4" width="18.26953125" customWidth="1"/>
    <col min="5" max="5" width="18" customWidth="1"/>
    <col min="6" max="6" width="18.08984375" customWidth="1"/>
    <col min="7" max="7" width="17" style="49" customWidth="1"/>
    <col min="8" max="8" width="13" style="49" bestFit="1" customWidth="1"/>
    <col min="9" max="9" width="12.6328125" style="49"/>
  </cols>
  <sheetData>
    <row r="1" spans="1:28" ht="15.75" customHeight="1" x14ac:dyDescent="0.25">
      <c r="A1" s="1"/>
      <c r="B1" s="1"/>
      <c r="C1" s="1"/>
      <c r="D1" s="1"/>
      <c r="E1" s="1"/>
      <c r="F1" s="1"/>
      <c r="G1" s="50"/>
      <c r="H1" s="50"/>
      <c r="I1" s="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1"/>
      <c r="C2" s="1"/>
      <c r="D2" s="1"/>
      <c r="E2" s="1"/>
      <c r="F2" s="1"/>
      <c r="G2" s="50"/>
      <c r="H2" s="50"/>
      <c r="I2" s="5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89" t="s">
        <v>0</v>
      </c>
      <c r="C3" s="90"/>
      <c r="D3" s="90"/>
      <c r="E3" s="90"/>
      <c r="F3" s="90"/>
      <c r="G3" s="90"/>
      <c r="H3" s="90"/>
      <c r="I3" s="9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3"/>
      <c r="C4" s="5">
        <v>0</v>
      </c>
      <c r="D4" s="5">
        <v>0.33</v>
      </c>
      <c r="E4" s="5">
        <v>0.66</v>
      </c>
      <c r="F4" s="5">
        <v>1</v>
      </c>
      <c r="G4" s="5" t="s">
        <v>2</v>
      </c>
      <c r="H4" s="5" t="s">
        <v>179</v>
      </c>
      <c r="I4" s="5" t="s">
        <v>174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" x14ac:dyDescent="0.25">
      <c r="A5" s="1"/>
      <c r="B5" s="8" t="s">
        <v>4</v>
      </c>
      <c r="C5" s="8"/>
      <c r="D5" s="8"/>
      <c r="E5" s="8"/>
      <c r="F5" s="8"/>
      <c r="G5" s="56"/>
      <c r="H5" s="56" t="s">
        <v>180</v>
      </c>
      <c r="I5" s="5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0" t="s">
        <v>5</v>
      </c>
      <c r="C6" s="12"/>
      <c r="D6" s="12"/>
      <c r="E6" s="12"/>
      <c r="F6" s="12"/>
      <c r="G6" s="57"/>
      <c r="H6" s="57"/>
      <c r="I6" s="5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5" x14ac:dyDescent="0.25">
      <c r="A7" s="1"/>
      <c r="B7" s="14" t="s">
        <v>11</v>
      </c>
      <c r="C7" s="13" t="s">
        <v>13</v>
      </c>
      <c r="D7" s="13" t="s">
        <v>14</v>
      </c>
      <c r="E7" s="13" t="s">
        <v>16</v>
      </c>
      <c r="F7" s="13" t="s">
        <v>20</v>
      </c>
      <c r="G7" s="52">
        <v>0.75</v>
      </c>
      <c r="H7" s="52"/>
      <c r="I7" s="52">
        <f>IFERROR(_xlfn.SWITCH($H7, 0, $C$4, 1, $D$4, 2, $E$4, 3, $F$4, "Error") * $G7, "Error")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6" x14ac:dyDescent="0.25">
      <c r="A8" s="1"/>
      <c r="B8" s="10" t="s">
        <v>21</v>
      </c>
      <c r="C8" s="12"/>
      <c r="D8" s="12"/>
      <c r="E8" s="12"/>
      <c r="F8" s="12"/>
      <c r="G8" s="57"/>
      <c r="H8" s="57"/>
      <c r="I8" s="5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" x14ac:dyDescent="0.25">
      <c r="A9" s="1"/>
      <c r="B9" s="14" t="s">
        <v>27</v>
      </c>
      <c r="C9" s="16" t="s">
        <v>28</v>
      </c>
      <c r="D9" s="16"/>
      <c r="E9" s="16"/>
      <c r="F9" s="16" t="s">
        <v>29</v>
      </c>
      <c r="G9" s="53">
        <v>0.1</v>
      </c>
      <c r="H9" s="53"/>
      <c r="I9" s="52">
        <f t="shared" ref="I9:I46" si="0">IFERROR(_xlfn.SWITCH($H9, 0, $C$4, 1, $D$4, 2, $E$4, 3, $F$4, "Error") * $G9, "Error")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" x14ac:dyDescent="0.25">
      <c r="A10" s="1"/>
      <c r="B10" s="14" t="s">
        <v>30</v>
      </c>
      <c r="C10" s="16" t="s">
        <v>28</v>
      </c>
      <c r="D10" s="16"/>
      <c r="E10" s="16"/>
      <c r="F10" s="16" t="s">
        <v>29</v>
      </c>
      <c r="G10" s="53">
        <v>0.1</v>
      </c>
      <c r="H10" s="53"/>
      <c r="I10" s="52">
        <f t="shared" si="0"/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" x14ac:dyDescent="0.25">
      <c r="A11" s="1"/>
      <c r="B11" s="14" t="s">
        <v>31</v>
      </c>
      <c r="C11" s="16" t="s">
        <v>28</v>
      </c>
      <c r="D11" s="16"/>
      <c r="E11" s="16"/>
      <c r="F11" s="16" t="s">
        <v>29</v>
      </c>
      <c r="G11" s="53">
        <v>0.1</v>
      </c>
      <c r="H11" s="53"/>
      <c r="I11" s="52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" x14ac:dyDescent="0.25">
      <c r="A12" s="1"/>
      <c r="B12" s="14" t="s">
        <v>32</v>
      </c>
      <c r="C12" s="16" t="s">
        <v>28</v>
      </c>
      <c r="D12" s="16"/>
      <c r="E12" s="16"/>
      <c r="F12" s="16" t="s">
        <v>29</v>
      </c>
      <c r="G12" s="53">
        <v>0.1</v>
      </c>
      <c r="H12" s="53"/>
      <c r="I12" s="52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" x14ac:dyDescent="0.25">
      <c r="A13" s="1"/>
      <c r="B13" s="14" t="s">
        <v>33</v>
      </c>
      <c r="C13" s="16" t="s">
        <v>28</v>
      </c>
      <c r="D13" s="16"/>
      <c r="E13" s="16"/>
      <c r="F13" s="16" t="s">
        <v>29</v>
      </c>
      <c r="G13" s="53">
        <v>0.1</v>
      </c>
      <c r="H13" s="53"/>
      <c r="I13" s="52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0" t="s">
        <v>34</v>
      </c>
      <c r="C14" s="17"/>
      <c r="D14" s="17"/>
      <c r="E14" s="17"/>
      <c r="F14" s="17"/>
      <c r="G14" s="58"/>
      <c r="H14" s="58"/>
      <c r="I14" s="5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" x14ac:dyDescent="0.25">
      <c r="A15" s="1"/>
      <c r="B15" s="14" t="s">
        <v>35</v>
      </c>
      <c r="C15" s="16" t="s">
        <v>36</v>
      </c>
      <c r="D15" s="16" t="s">
        <v>37</v>
      </c>
      <c r="E15" s="16" t="s">
        <v>38</v>
      </c>
      <c r="F15" s="16" t="s">
        <v>39</v>
      </c>
      <c r="G15" s="53">
        <v>0.5</v>
      </c>
      <c r="H15" s="53"/>
      <c r="I15" s="52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2.5" x14ac:dyDescent="0.25">
      <c r="A16" s="1"/>
      <c r="B16" s="18" t="s">
        <v>40</v>
      </c>
      <c r="C16" s="16" t="s">
        <v>41</v>
      </c>
      <c r="D16" s="16" t="s">
        <v>42</v>
      </c>
      <c r="E16" s="16" t="s">
        <v>43</v>
      </c>
      <c r="F16" s="16" t="s">
        <v>44</v>
      </c>
      <c r="G16" s="53">
        <v>0.25</v>
      </c>
      <c r="H16" s="53"/>
      <c r="I16" s="52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5" x14ac:dyDescent="0.25">
      <c r="A17" s="1"/>
      <c r="B17" s="18" t="s">
        <v>45</v>
      </c>
      <c r="C17" s="16" t="s">
        <v>46</v>
      </c>
      <c r="D17" s="16" t="s">
        <v>47</v>
      </c>
      <c r="E17" s="16" t="s">
        <v>48</v>
      </c>
      <c r="F17" s="16" t="s">
        <v>49</v>
      </c>
      <c r="G17" s="53">
        <v>-0.5</v>
      </c>
      <c r="H17" s="53"/>
      <c r="I17" s="52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20" t="s">
        <v>50</v>
      </c>
      <c r="C18" s="21"/>
      <c r="D18" s="21"/>
      <c r="E18" s="21"/>
      <c r="F18" s="21"/>
      <c r="G18" s="59"/>
      <c r="H18" s="59"/>
      <c r="I18" s="5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12.5" x14ac:dyDescent="0.25">
      <c r="A19" s="1"/>
      <c r="B19" s="18" t="s">
        <v>56</v>
      </c>
      <c r="C19" s="16" t="s">
        <v>57</v>
      </c>
      <c r="D19" s="16" t="s">
        <v>58</v>
      </c>
      <c r="E19" s="16" t="s">
        <v>59</v>
      </c>
      <c r="F19" s="16" t="s">
        <v>60</v>
      </c>
      <c r="G19" s="53">
        <v>0.5</v>
      </c>
      <c r="H19" s="53"/>
      <c r="I19" s="52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20" t="s">
        <v>71</v>
      </c>
      <c r="C20" s="17"/>
      <c r="D20" s="17"/>
      <c r="E20" s="17"/>
      <c r="F20" s="22"/>
      <c r="G20" s="58"/>
      <c r="H20" s="58"/>
      <c r="I20" s="5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5" x14ac:dyDescent="0.25">
      <c r="A21" s="1"/>
      <c r="B21" s="18" t="s">
        <v>76</v>
      </c>
      <c r="C21" s="16" t="s">
        <v>77</v>
      </c>
      <c r="D21" s="16" t="s">
        <v>78</v>
      </c>
      <c r="E21" s="16" t="s">
        <v>79</v>
      </c>
      <c r="F21" s="16" t="s">
        <v>80</v>
      </c>
      <c r="G21" s="53">
        <v>0.5</v>
      </c>
      <c r="H21" s="53"/>
      <c r="I21" s="52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7.5" x14ac:dyDescent="0.25">
      <c r="A22" s="1"/>
      <c r="B22" s="18" t="s">
        <v>82</v>
      </c>
      <c r="C22" s="16" t="s">
        <v>83</v>
      </c>
      <c r="D22" s="16" t="s">
        <v>84</v>
      </c>
      <c r="E22" s="16" t="s">
        <v>85</v>
      </c>
      <c r="F22" s="16" t="s">
        <v>86</v>
      </c>
      <c r="G22" s="53">
        <v>0.5</v>
      </c>
      <c r="H22" s="53"/>
      <c r="I22" s="52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5" x14ac:dyDescent="0.25">
      <c r="A23" s="1"/>
      <c r="B23" s="18" t="s">
        <v>89</v>
      </c>
      <c r="C23" s="16" t="s">
        <v>46</v>
      </c>
      <c r="D23" s="16" t="s">
        <v>47</v>
      </c>
      <c r="E23" s="16" t="s">
        <v>48</v>
      </c>
      <c r="F23" s="16" t="s">
        <v>49</v>
      </c>
      <c r="G23" s="53">
        <v>-0.66</v>
      </c>
      <c r="H23" s="53"/>
      <c r="I23" s="52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20" t="s">
        <v>93</v>
      </c>
      <c r="C24" s="17"/>
      <c r="D24" s="17"/>
      <c r="E24" s="17"/>
      <c r="F24" s="17"/>
      <c r="G24" s="58"/>
      <c r="H24" s="58"/>
      <c r="I24" s="5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5" x14ac:dyDescent="0.25">
      <c r="A25" s="1"/>
      <c r="B25" s="18" t="s">
        <v>95</v>
      </c>
      <c r="C25" s="16" t="s">
        <v>96</v>
      </c>
      <c r="D25" s="16" t="s">
        <v>97</v>
      </c>
      <c r="E25" s="16" t="s">
        <v>98</v>
      </c>
      <c r="F25" s="16" t="s">
        <v>99</v>
      </c>
      <c r="G25" s="53">
        <v>0.25</v>
      </c>
      <c r="H25" s="53"/>
      <c r="I25" s="52">
        <f t="shared" si="0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5" x14ac:dyDescent="0.25">
      <c r="A26" s="1"/>
      <c r="B26" s="18" t="s">
        <v>105</v>
      </c>
      <c r="C26" s="16" t="s">
        <v>96</v>
      </c>
      <c r="D26" s="16" t="s">
        <v>97</v>
      </c>
      <c r="E26" s="16" t="s">
        <v>98</v>
      </c>
      <c r="F26" s="16" t="s">
        <v>99</v>
      </c>
      <c r="G26" s="53">
        <v>0.5</v>
      </c>
      <c r="H26" s="53"/>
      <c r="I26" s="52">
        <f t="shared" si="0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5" x14ac:dyDescent="0.25">
      <c r="A27" s="1"/>
      <c r="B27" s="18" t="s">
        <v>113</v>
      </c>
      <c r="C27" s="16" t="s">
        <v>46</v>
      </c>
      <c r="D27" s="16" t="s">
        <v>47</v>
      </c>
      <c r="E27" s="16" t="s">
        <v>48</v>
      </c>
      <c r="F27" s="16" t="s">
        <v>49</v>
      </c>
      <c r="G27" s="53">
        <v>-0.5</v>
      </c>
      <c r="H27" s="53"/>
      <c r="I27" s="52">
        <f t="shared" si="0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20" t="s">
        <v>115</v>
      </c>
      <c r="C28" s="17"/>
      <c r="D28" s="17"/>
      <c r="E28" s="17"/>
      <c r="F28" s="17"/>
      <c r="G28" s="58"/>
      <c r="H28" s="58"/>
      <c r="I28" s="5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5" x14ac:dyDescent="0.25">
      <c r="A29" s="1"/>
      <c r="B29" s="18" t="s">
        <v>116</v>
      </c>
      <c r="C29" s="16" t="s">
        <v>117</v>
      </c>
      <c r="D29" s="16" t="s">
        <v>118</v>
      </c>
      <c r="E29" s="16" t="s">
        <v>119</v>
      </c>
      <c r="F29" s="16" t="s">
        <v>120</v>
      </c>
      <c r="G29" s="53">
        <v>1</v>
      </c>
      <c r="H29" s="53"/>
      <c r="I29" s="52">
        <f t="shared" si="0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5" x14ac:dyDescent="0.25">
      <c r="A30" s="1"/>
      <c r="B30" s="18" t="s">
        <v>121</v>
      </c>
      <c r="C30" s="16" t="s">
        <v>46</v>
      </c>
      <c r="D30" s="16" t="s">
        <v>47</v>
      </c>
      <c r="E30" s="16" t="s">
        <v>48</v>
      </c>
      <c r="F30" s="16" t="s">
        <v>49</v>
      </c>
      <c r="G30" s="53">
        <v>-0.66</v>
      </c>
      <c r="H30" s="53"/>
      <c r="I30" s="52">
        <f t="shared" si="0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20" t="s">
        <v>122</v>
      </c>
      <c r="C31" s="17"/>
      <c r="D31" s="17"/>
      <c r="E31" s="17"/>
      <c r="F31" s="17"/>
      <c r="G31" s="58"/>
      <c r="H31" s="58"/>
      <c r="I31" s="5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" x14ac:dyDescent="0.25">
      <c r="A32" s="1"/>
      <c r="B32" s="18" t="s">
        <v>123</v>
      </c>
      <c r="C32" s="16" t="s">
        <v>124</v>
      </c>
      <c r="D32" s="16"/>
      <c r="E32" s="16"/>
      <c r="F32" s="16" t="s">
        <v>125</v>
      </c>
      <c r="G32" s="53">
        <v>0.5</v>
      </c>
      <c r="H32" s="53"/>
      <c r="I32" s="52">
        <f t="shared" si="0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5" x14ac:dyDescent="0.25">
      <c r="A33" s="1"/>
      <c r="B33" s="18" t="s">
        <v>126</v>
      </c>
      <c r="C33" s="16" t="s">
        <v>46</v>
      </c>
      <c r="D33" s="16" t="s">
        <v>47</v>
      </c>
      <c r="E33" s="16" t="s">
        <v>48</v>
      </c>
      <c r="F33" s="16" t="s">
        <v>49</v>
      </c>
      <c r="G33" s="53">
        <v>-0.33</v>
      </c>
      <c r="H33" s="53"/>
      <c r="I33" s="52">
        <f t="shared" si="0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" x14ac:dyDescent="0.25">
      <c r="A34" s="1"/>
      <c r="B34" s="20" t="s">
        <v>128</v>
      </c>
      <c r="C34" s="17"/>
      <c r="D34" s="17"/>
      <c r="E34" s="17"/>
      <c r="F34" s="17"/>
      <c r="G34" s="58"/>
      <c r="H34" s="58"/>
      <c r="I34" s="5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5" x14ac:dyDescent="0.25">
      <c r="A35" s="1"/>
      <c r="B35" s="18" t="s">
        <v>129</v>
      </c>
      <c r="C35" s="16" t="s">
        <v>130</v>
      </c>
      <c r="D35" s="16"/>
      <c r="E35" s="16"/>
      <c r="F35" s="16" t="s">
        <v>131</v>
      </c>
      <c r="G35" s="53">
        <v>0.25</v>
      </c>
      <c r="H35" s="53"/>
      <c r="I35" s="52">
        <f t="shared" si="0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5" x14ac:dyDescent="0.25">
      <c r="A36" s="1"/>
      <c r="B36" s="18" t="s">
        <v>132</v>
      </c>
      <c r="C36" s="16" t="s">
        <v>46</v>
      </c>
      <c r="D36" s="16" t="s">
        <v>47</v>
      </c>
      <c r="E36" s="16" t="s">
        <v>48</v>
      </c>
      <c r="F36" s="16" t="s">
        <v>49</v>
      </c>
      <c r="G36" s="53">
        <v>-0.16600000000000001</v>
      </c>
      <c r="H36" s="53"/>
      <c r="I36" s="52">
        <f t="shared" si="0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5" x14ac:dyDescent="0.25">
      <c r="A37" s="1"/>
      <c r="B37" s="18" t="s">
        <v>134</v>
      </c>
      <c r="C37" s="16" t="s">
        <v>130</v>
      </c>
      <c r="D37" s="16"/>
      <c r="E37" s="16"/>
      <c r="F37" s="16" t="s">
        <v>131</v>
      </c>
      <c r="G37" s="53">
        <v>0.5</v>
      </c>
      <c r="H37" s="53"/>
      <c r="I37" s="52">
        <f t="shared" si="0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5" x14ac:dyDescent="0.25">
      <c r="A38" s="1"/>
      <c r="B38" s="18" t="s">
        <v>139</v>
      </c>
      <c r="C38" s="16" t="s">
        <v>46</v>
      </c>
      <c r="D38" s="16" t="s">
        <v>47</v>
      </c>
      <c r="E38" s="16" t="s">
        <v>48</v>
      </c>
      <c r="F38" s="16" t="s">
        <v>49</v>
      </c>
      <c r="G38" s="53">
        <v>-0.33</v>
      </c>
      <c r="H38" s="53"/>
      <c r="I38" s="52">
        <f t="shared" si="0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" x14ac:dyDescent="0.25">
      <c r="A39" s="1"/>
      <c r="B39" s="20" t="s">
        <v>142</v>
      </c>
      <c r="C39" s="17"/>
      <c r="D39" s="17"/>
      <c r="E39" s="17"/>
      <c r="F39" s="17"/>
      <c r="G39" s="58"/>
      <c r="H39" s="58"/>
      <c r="I39" s="5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5" x14ac:dyDescent="0.25">
      <c r="A40" s="1"/>
      <c r="B40" s="18" t="s">
        <v>143</v>
      </c>
      <c r="C40" s="16" t="s">
        <v>130</v>
      </c>
      <c r="D40" s="16"/>
      <c r="E40" s="16"/>
      <c r="F40" s="16" t="s">
        <v>131</v>
      </c>
      <c r="G40" s="53">
        <v>0.25</v>
      </c>
      <c r="H40" s="53"/>
      <c r="I40" s="52">
        <f t="shared" si="0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5" x14ac:dyDescent="0.25">
      <c r="A41" s="1"/>
      <c r="B41" s="18" t="s">
        <v>145</v>
      </c>
      <c r="C41" s="16" t="s">
        <v>130</v>
      </c>
      <c r="D41" s="16"/>
      <c r="E41" s="16"/>
      <c r="F41" s="16" t="s">
        <v>131</v>
      </c>
      <c r="G41" s="53">
        <v>0.5</v>
      </c>
      <c r="H41" s="53"/>
      <c r="I41" s="52">
        <f t="shared" si="0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5" x14ac:dyDescent="0.25">
      <c r="A42" s="1"/>
      <c r="B42" s="18" t="s">
        <v>146</v>
      </c>
      <c r="C42" s="16" t="s">
        <v>46</v>
      </c>
      <c r="D42" s="16" t="s">
        <v>47</v>
      </c>
      <c r="E42" s="16" t="s">
        <v>48</v>
      </c>
      <c r="F42" s="16" t="s">
        <v>49</v>
      </c>
      <c r="G42" s="53">
        <v>-0.5</v>
      </c>
      <c r="H42" s="53"/>
      <c r="I42" s="52">
        <f t="shared" si="0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x14ac:dyDescent="0.25">
      <c r="A43" s="1"/>
      <c r="B43" s="20" t="s">
        <v>147</v>
      </c>
      <c r="C43" s="17"/>
      <c r="D43" s="17"/>
      <c r="E43" s="17"/>
      <c r="F43" s="17"/>
      <c r="G43" s="58"/>
      <c r="H43" s="58"/>
      <c r="I43" s="5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25">
      <c r="A44" s="1"/>
      <c r="B44" s="18" t="s">
        <v>148</v>
      </c>
      <c r="C44" s="16"/>
      <c r="D44" s="16"/>
      <c r="E44" s="16"/>
      <c r="F44" s="16"/>
      <c r="G44" s="53">
        <v>2</v>
      </c>
      <c r="H44" s="53"/>
      <c r="I44" s="52">
        <f t="shared" si="0"/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50" x14ac:dyDescent="0.25">
      <c r="A45" s="1"/>
      <c r="B45" s="18" t="s">
        <v>149</v>
      </c>
      <c r="C45" s="16" t="s">
        <v>150</v>
      </c>
      <c r="D45" s="16"/>
      <c r="E45" s="16"/>
      <c r="F45" s="16" t="s">
        <v>151</v>
      </c>
      <c r="G45" s="53">
        <v>0.25</v>
      </c>
      <c r="H45" s="53"/>
      <c r="I45" s="52">
        <f t="shared" si="0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87.5" x14ac:dyDescent="0.25">
      <c r="A46" s="1"/>
      <c r="B46" s="18" t="s">
        <v>111</v>
      </c>
      <c r="C46" s="16" t="s">
        <v>112</v>
      </c>
      <c r="D46" s="16"/>
      <c r="E46" s="16"/>
      <c r="F46" s="16" t="s">
        <v>114</v>
      </c>
      <c r="G46" s="53">
        <v>0.5</v>
      </c>
      <c r="H46" s="53"/>
      <c r="I46" s="52">
        <f t="shared" si="0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 t="s">
        <v>157</v>
      </c>
      <c r="C47" s="1"/>
      <c r="D47" s="1"/>
      <c r="E47" s="1"/>
      <c r="F47" s="1"/>
      <c r="G47" s="60">
        <f>SUMIF(G7:G46,"&gt;0")</f>
        <v>10</v>
      </c>
      <c r="H47" s="60"/>
      <c r="I47" s="60">
        <f>SUMIF(I7:I46,"&gt;0")</f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1"/>
      <c r="G48" s="50"/>
      <c r="H48" s="50"/>
      <c r="I48" s="5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1"/>
      <c r="G49" s="50"/>
      <c r="H49" s="50"/>
      <c r="I49" s="5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1"/>
      <c r="G50" s="50"/>
      <c r="H50" s="50"/>
      <c r="I50" s="5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customHeight="1" x14ac:dyDescent="0.25">
      <c r="A51" s="1"/>
      <c r="B51" s="89" t="s">
        <v>152</v>
      </c>
      <c r="C51" s="90"/>
      <c r="D51" s="90"/>
      <c r="E51" s="90"/>
      <c r="F51" s="90"/>
      <c r="G51" s="90"/>
      <c r="H51" s="90"/>
      <c r="I51" s="5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3"/>
      <c r="C52" s="5">
        <v>0</v>
      </c>
      <c r="D52" s="5">
        <v>0.33</v>
      </c>
      <c r="E52" s="5">
        <v>0.66</v>
      </c>
      <c r="F52" s="5">
        <v>1</v>
      </c>
      <c r="G52" s="5" t="s">
        <v>2</v>
      </c>
      <c r="H52" s="5" t="s">
        <v>179</v>
      </c>
      <c r="I52" s="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6" x14ac:dyDescent="0.25">
      <c r="A53" s="1"/>
      <c r="B53" s="8" t="s">
        <v>133</v>
      </c>
      <c r="C53" s="8"/>
      <c r="D53" s="8"/>
      <c r="E53" s="8"/>
      <c r="F53" s="8"/>
      <c r="G53" s="56" t="s">
        <v>153</v>
      </c>
      <c r="H53" s="56" t="s">
        <v>180</v>
      </c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00" x14ac:dyDescent="0.25">
      <c r="A54" s="1"/>
      <c r="B54" s="14" t="s">
        <v>136</v>
      </c>
      <c r="C54" s="13" t="s">
        <v>137</v>
      </c>
      <c r="D54" s="13" t="s">
        <v>138</v>
      </c>
      <c r="E54" s="13" t="s">
        <v>140</v>
      </c>
      <c r="F54" s="13" t="s">
        <v>141</v>
      </c>
      <c r="G54" s="60"/>
      <c r="H54" s="62"/>
      <c r="I54" s="5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 t="s">
        <v>158</v>
      </c>
      <c r="C55" s="1"/>
      <c r="D55" s="1"/>
      <c r="E55" s="1"/>
      <c r="F55" s="1"/>
      <c r="G55" s="50"/>
      <c r="H55" s="50"/>
      <c r="I55" s="5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 t="s">
        <v>144</v>
      </c>
      <c r="C56" s="1"/>
      <c r="D56" s="1"/>
      <c r="E56" s="1"/>
      <c r="F56" s="1"/>
      <c r="G56" s="50"/>
      <c r="H56" s="50"/>
      <c r="I56" s="5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1"/>
      <c r="G57" s="50"/>
      <c r="H57" s="50"/>
      <c r="I57" s="5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1"/>
      <c r="G58" s="50"/>
      <c r="H58" s="50"/>
      <c r="I58" s="5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1"/>
      <c r="G59" s="50"/>
      <c r="H59" s="50"/>
      <c r="I59" s="5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1"/>
      <c r="G60" s="50"/>
      <c r="H60" s="50"/>
      <c r="I60" s="5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1"/>
      <c r="G61" s="50"/>
      <c r="H61" s="50"/>
      <c r="I61" s="5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1"/>
      <c r="G62" s="50"/>
      <c r="H62" s="50"/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1"/>
      <c r="G63" s="50"/>
      <c r="H63" s="50"/>
      <c r="I63" s="5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1"/>
      <c r="G64" s="50"/>
      <c r="H64" s="50"/>
      <c r="I64" s="5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1"/>
      <c r="G65" s="50"/>
      <c r="H65" s="50"/>
      <c r="I65" s="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1"/>
      <c r="G66" s="50"/>
      <c r="H66" s="50"/>
      <c r="I66" s="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1"/>
      <c r="G67" s="50"/>
      <c r="H67" s="50"/>
      <c r="I67" s="5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1"/>
      <c r="G68" s="50"/>
      <c r="H68" s="50"/>
      <c r="I68" s="5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1"/>
      <c r="G69" s="50"/>
      <c r="H69" s="50"/>
      <c r="I69" s="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1"/>
      <c r="G70" s="50"/>
      <c r="H70" s="50"/>
      <c r="I70" s="5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1"/>
      <c r="G71" s="50"/>
      <c r="H71" s="50"/>
      <c r="I71" s="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1"/>
      <c r="G72" s="50"/>
      <c r="H72" s="50"/>
      <c r="I72" s="5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1"/>
      <c r="G73" s="50"/>
      <c r="H73" s="50"/>
      <c r="I73" s="5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1"/>
      <c r="G74" s="50"/>
      <c r="H74" s="50"/>
      <c r="I74" s="5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1"/>
      <c r="G75" s="50"/>
      <c r="H75" s="50"/>
      <c r="I75" s="5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1"/>
      <c r="G76" s="50"/>
      <c r="H76" s="50"/>
      <c r="I76" s="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1"/>
      <c r="G77" s="50"/>
      <c r="H77" s="50"/>
      <c r="I77" s="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1"/>
      <c r="G78" s="50"/>
      <c r="H78" s="50"/>
      <c r="I78" s="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1"/>
      <c r="G79" s="50"/>
      <c r="H79" s="50"/>
      <c r="I79" s="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1"/>
      <c r="G80" s="50"/>
      <c r="H80" s="50"/>
      <c r="I80" s="5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1"/>
      <c r="G81" s="50"/>
      <c r="H81" s="50"/>
      <c r="I81" s="5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1"/>
      <c r="G82" s="50"/>
      <c r="H82" s="50"/>
      <c r="I82" s="5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1"/>
      <c r="G83" s="50"/>
      <c r="H83" s="50"/>
      <c r="I83" s="5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1"/>
      <c r="G84" s="50"/>
      <c r="H84" s="50"/>
      <c r="I84" s="5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1"/>
      <c r="G85" s="50"/>
      <c r="H85" s="50"/>
      <c r="I85" s="5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1"/>
      <c r="G86" s="50"/>
      <c r="H86" s="50"/>
      <c r="I86" s="5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1"/>
      <c r="G87" s="50"/>
      <c r="H87" s="50"/>
      <c r="I87" s="5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1"/>
      <c r="G88" s="50"/>
      <c r="H88" s="50"/>
      <c r="I88" s="5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1"/>
      <c r="G89" s="50"/>
      <c r="H89" s="50"/>
      <c r="I89" s="5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1"/>
      <c r="G90" s="50"/>
      <c r="H90" s="50"/>
      <c r="I90" s="5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1"/>
      <c r="G91" s="50"/>
      <c r="H91" s="50"/>
      <c r="I91" s="5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1"/>
      <c r="G92" s="50"/>
      <c r="H92" s="50"/>
      <c r="I92" s="5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1"/>
      <c r="G93" s="50"/>
      <c r="H93" s="50"/>
      <c r="I93" s="5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1"/>
      <c r="G94" s="50"/>
      <c r="H94" s="50"/>
      <c r="I94" s="5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1"/>
      <c r="G95" s="50"/>
      <c r="H95" s="50"/>
      <c r="I95" s="5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1"/>
      <c r="G96" s="50"/>
      <c r="H96" s="50"/>
      <c r="I96" s="5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1"/>
      <c r="G97" s="50"/>
      <c r="H97" s="50"/>
      <c r="I97" s="5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1"/>
      <c r="G98" s="50"/>
      <c r="H98" s="50"/>
      <c r="I98" s="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1"/>
      <c r="G99" s="50"/>
      <c r="H99" s="50"/>
      <c r="I99" s="5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1"/>
      <c r="G100" s="50"/>
      <c r="H100" s="50"/>
      <c r="I100" s="5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1"/>
      <c r="G101" s="50"/>
      <c r="H101" s="50"/>
      <c r="I101" s="5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1"/>
      <c r="G102" s="50"/>
      <c r="H102" s="50"/>
      <c r="I102" s="5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1"/>
      <c r="G103" s="50"/>
      <c r="H103" s="50"/>
      <c r="I103" s="5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1"/>
      <c r="G104" s="50"/>
      <c r="H104" s="50"/>
      <c r="I104" s="5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1"/>
      <c r="G105" s="50"/>
      <c r="H105" s="50"/>
      <c r="I105" s="5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1"/>
      <c r="G106" s="50"/>
      <c r="H106" s="50"/>
      <c r="I106" s="5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1"/>
      <c r="G107" s="50"/>
      <c r="H107" s="50"/>
      <c r="I107" s="5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1"/>
      <c r="G108" s="50"/>
      <c r="H108" s="50"/>
      <c r="I108" s="5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1"/>
      <c r="G109" s="50"/>
      <c r="H109" s="50"/>
      <c r="I109" s="5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1"/>
      <c r="G110" s="50"/>
      <c r="H110" s="50"/>
      <c r="I110" s="5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1"/>
      <c r="G111" s="50"/>
      <c r="H111" s="50"/>
      <c r="I111" s="5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1"/>
      <c r="G112" s="50"/>
      <c r="H112" s="50"/>
      <c r="I112" s="5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1"/>
      <c r="G113" s="50"/>
      <c r="H113" s="50"/>
      <c r="I113" s="5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1"/>
      <c r="G114" s="50"/>
      <c r="H114" s="50"/>
      <c r="I114" s="5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1"/>
      <c r="G115" s="50"/>
      <c r="H115" s="50"/>
      <c r="I115" s="5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1"/>
      <c r="G116" s="50"/>
      <c r="H116" s="50"/>
      <c r="I116" s="5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1"/>
      <c r="G117" s="50"/>
      <c r="H117" s="50"/>
      <c r="I117" s="5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1"/>
      <c r="G118" s="50"/>
      <c r="H118" s="50"/>
      <c r="I118" s="5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1"/>
      <c r="G119" s="50"/>
      <c r="H119" s="50"/>
      <c r="I119" s="5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1"/>
      <c r="G120" s="50"/>
      <c r="H120" s="50"/>
      <c r="I120" s="5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1"/>
      <c r="G121" s="50"/>
      <c r="H121" s="50"/>
      <c r="I121" s="5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1"/>
      <c r="G122" s="50"/>
      <c r="H122" s="50"/>
      <c r="I122" s="5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1"/>
      <c r="G123" s="50"/>
      <c r="H123" s="50"/>
      <c r="I123" s="5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1"/>
      <c r="G124" s="50"/>
      <c r="H124" s="50"/>
      <c r="I124" s="5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1"/>
      <c r="G125" s="50"/>
      <c r="H125" s="50"/>
      <c r="I125" s="5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1"/>
      <c r="G126" s="50"/>
      <c r="H126" s="50"/>
      <c r="I126" s="5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1"/>
      <c r="G127" s="50"/>
      <c r="H127" s="50"/>
      <c r="I127" s="5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1"/>
      <c r="G128" s="50"/>
      <c r="H128" s="50"/>
      <c r="I128" s="5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1"/>
      <c r="G129" s="50"/>
      <c r="H129" s="50"/>
      <c r="I129" s="5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1"/>
      <c r="G130" s="50"/>
      <c r="H130" s="50"/>
      <c r="I130" s="5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1"/>
      <c r="G131" s="50"/>
      <c r="H131" s="50"/>
      <c r="I131" s="5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1"/>
      <c r="G132" s="50"/>
      <c r="H132" s="50"/>
      <c r="I132" s="5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1"/>
      <c r="G133" s="50"/>
      <c r="H133" s="50"/>
      <c r="I133" s="5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1"/>
      <c r="G134" s="50"/>
      <c r="H134" s="50"/>
      <c r="I134" s="5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1"/>
      <c r="G135" s="50"/>
      <c r="H135" s="50"/>
      <c r="I135" s="5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1"/>
      <c r="G136" s="50"/>
      <c r="H136" s="50"/>
      <c r="I136" s="5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1"/>
      <c r="G137" s="50"/>
      <c r="H137" s="50"/>
      <c r="I137" s="5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1"/>
      <c r="G138" s="50"/>
      <c r="H138" s="50"/>
      <c r="I138" s="5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1"/>
      <c r="G139" s="50"/>
      <c r="H139" s="50"/>
      <c r="I139" s="5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1"/>
      <c r="G140" s="50"/>
      <c r="H140" s="50"/>
      <c r="I140" s="5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1"/>
      <c r="G141" s="50"/>
      <c r="H141" s="50"/>
      <c r="I141" s="5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1"/>
      <c r="G142" s="50"/>
      <c r="H142" s="50"/>
      <c r="I142" s="5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1"/>
      <c r="G143" s="50"/>
      <c r="H143" s="50"/>
      <c r="I143" s="5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1"/>
      <c r="G144" s="50"/>
      <c r="H144" s="50"/>
      <c r="I144" s="5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1"/>
      <c r="G145" s="50"/>
      <c r="H145" s="50"/>
      <c r="I145" s="5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1"/>
      <c r="G146" s="50"/>
      <c r="H146" s="50"/>
      <c r="I146" s="5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1"/>
      <c r="G147" s="50"/>
      <c r="H147" s="50"/>
      <c r="I147" s="5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1"/>
      <c r="G148" s="50"/>
      <c r="H148" s="50"/>
      <c r="I148" s="5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1"/>
      <c r="G149" s="50"/>
      <c r="H149" s="50"/>
      <c r="I149" s="5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1"/>
      <c r="G150" s="50"/>
      <c r="H150" s="50"/>
      <c r="I150" s="5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1"/>
      <c r="G151" s="50"/>
      <c r="H151" s="50"/>
      <c r="I151" s="5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1"/>
      <c r="G152" s="50"/>
      <c r="H152" s="50"/>
      <c r="I152" s="5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1"/>
      <c r="G153" s="50"/>
      <c r="H153" s="50"/>
      <c r="I153" s="5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1"/>
      <c r="G154" s="50"/>
      <c r="H154" s="50"/>
      <c r="I154" s="5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1"/>
      <c r="G155" s="50"/>
      <c r="H155" s="50"/>
      <c r="I155" s="5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1"/>
      <c r="G156" s="50"/>
      <c r="H156" s="50"/>
      <c r="I156" s="5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1"/>
      <c r="G157" s="50"/>
      <c r="H157" s="50"/>
      <c r="I157" s="5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1"/>
      <c r="G158" s="50"/>
      <c r="H158" s="50"/>
      <c r="I158" s="5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1"/>
      <c r="G159" s="50"/>
      <c r="H159" s="50"/>
      <c r="I159" s="5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1"/>
      <c r="G160" s="50"/>
      <c r="H160" s="50"/>
      <c r="I160" s="5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1"/>
      <c r="G161" s="50"/>
      <c r="H161" s="50"/>
      <c r="I161" s="5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1"/>
      <c r="G162" s="50"/>
      <c r="H162" s="50"/>
      <c r="I162" s="5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1"/>
      <c r="G163" s="50"/>
      <c r="H163" s="50"/>
      <c r="I163" s="5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1"/>
      <c r="G164" s="50"/>
      <c r="H164" s="50"/>
      <c r="I164" s="5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1"/>
      <c r="G165" s="50"/>
      <c r="H165" s="50"/>
      <c r="I165" s="5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1"/>
      <c r="G166" s="50"/>
      <c r="H166" s="50"/>
      <c r="I166" s="5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1"/>
      <c r="G167" s="50"/>
      <c r="H167" s="50"/>
      <c r="I167" s="5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1"/>
      <c r="G168" s="50"/>
      <c r="H168" s="50"/>
      <c r="I168" s="5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1"/>
      <c r="G169" s="50"/>
      <c r="H169" s="50"/>
      <c r="I169" s="5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1"/>
      <c r="G170" s="50"/>
      <c r="H170" s="50"/>
      <c r="I170" s="5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1"/>
      <c r="G171" s="50"/>
      <c r="H171" s="50"/>
      <c r="I171" s="5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1"/>
      <c r="G172" s="50"/>
      <c r="H172" s="50"/>
      <c r="I172" s="5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1"/>
      <c r="G173" s="50"/>
      <c r="H173" s="50"/>
      <c r="I173" s="5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1"/>
      <c r="G174" s="50"/>
      <c r="H174" s="50"/>
      <c r="I174" s="5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1"/>
      <c r="G175" s="50"/>
      <c r="H175" s="50"/>
      <c r="I175" s="5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1"/>
      <c r="G176" s="50"/>
      <c r="H176" s="50"/>
      <c r="I176" s="5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1"/>
      <c r="G177" s="50"/>
      <c r="H177" s="50"/>
      <c r="I177" s="5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1"/>
      <c r="G178" s="50"/>
      <c r="H178" s="50"/>
      <c r="I178" s="5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1"/>
      <c r="G179" s="50"/>
      <c r="H179" s="50"/>
      <c r="I179" s="5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1"/>
      <c r="G180" s="50"/>
      <c r="H180" s="50"/>
      <c r="I180" s="5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1"/>
      <c r="G181" s="50"/>
      <c r="H181" s="50"/>
      <c r="I181" s="5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1"/>
      <c r="G182" s="50"/>
      <c r="H182" s="50"/>
      <c r="I182" s="5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1"/>
      <c r="G183" s="50"/>
      <c r="H183" s="50"/>
      <c r="I183" s="5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1"/>
      <c r="G184" s="50"/>
      <c r="H184" s="50"/>
      <c r="I184" s="5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1"/>
      <c r="G185" s="50"/>
      <c r="H185" s="50"/>
      <c r="I185" s="5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1"/>
      <c r="G186" s="50"/>
      <c r="H186" s="50"/>
      <c r="I186" s="5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1"/>
      <c r="G187" s="50"/>
      <c r="H187" s="50"/>
      <c r="I187" s="5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1"/>
      <c r="G188" s="50"/>
      <c r="H188" s="50"/>
      <c r="I188" s="5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1"/>
      <c r="G189" s="50"/>
      <c r="H189" s="50"/>
      <c r="I189" s="5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1"/>
      <c r="G190" s="50"/>
      <c r="H190" s="50"/>
      <c r="I190" s="5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1"/>
      <c r="G191" s="50"/>
      <c r="H191" s="50"/>
      <c r="I191" s="5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1"/>
      <c r="G192" s="50"/>
      <c r="H192" s="50"/>
      <c r="I192" s="5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1"/>
      <c r="G193" s="50"/>
      <c r="H193" s="50"/>
      <c r="I193" s="5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1"/>
      <c r="G194" s="50"/>
      <c r="H194" s="50"/>
      <c r="I194" s="5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1"/>
      <c r="G195" s="50"/>
      <c r="H195" s="50"/>
      <c r="I195" s="5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1"/>
      <c r="G196" s="50"/>
      <c r="H196" s="50"/>
      <c r="I196" s="5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1"/>
      <c r="G197" s="50"/>
      <c r="H197" s="50"/>
      <c r="I197" s="5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1"/>
      <c r="G198" s="50"/>
      <c r="H198" s="50"/>
      <c r="I198" s="5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1"/>
      <c r="G199" s="50"/>
      <c r="H199" s="50"/>
      <c r="I199" s="5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1"/>
      <c r="G200" s="50"/>
      <c r="H200" s="50"/>
      <c r="I200" s="5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1"/>
      <c r="G201" s="50"/>
      <c r="H201" s="50"/>
      <c r="I201" s="5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1"/>
      <c r="G202" s="50"/>
      <c r="H202" s="50"/>
      <c r="I202" s="5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1"/>
      <c r="G203" s="50"/>
      <c r="H203" s="50"/>
      <c r="I203" s="5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1"/>
      <c r="G204" s="50"/>
      <c r="H204" s="50"/>
      <c r="I204" s="5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1"/>
      <c r="G205" s="50"/>
      <c r="H205" s="50"/>
      <c r="I205" s="5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1"/>
      <c r="G206" s="50"/>
      <c r="H206" s="50"/>
      <c r="I206" s="5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1"/>
      <c r="G207" s="50"/>
      <c r="H207" s="50"/>
      <c r="I207" s="5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1"/>
      <c r="G208" s="50"/>
      <c r="H208" s="50"/>
      <c r="I208" s="5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1"/>
      <c r="G209" s="50"/>
      <c r="H209" s="50"/>
      <c r="I209" s="5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1"/>
      <c r="G210" s="50"/>
      <c r="H210" s="50"/>
      <c r="I210" s="5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1"/>
      <c r="G211" s="50"/>
      <c r="H211" s="50"/>
      <c r="I211" s="5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1"/>
      <c r="G212" s="50"/>
      <c r="H212" s="50"/>
      <c r="I212" s="5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1"/>
      <c r="G213" s="50"/>
      <c r="H213" s="50"/>
      <c r="I213" s="5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1"/>
      <c r="G214" s="50"/>
      <c r="H214" s="50"/>
      <c r="I214" s="5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1"/>
      <c r="G215" s="50"/>
      <c r="H215" s="50"/>
      <c r="I215" s="5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1"/>
      <c r="G216" s="50"/>
      <c r="H216" s="50"/>
      <c r="I216" s="5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1"/>
      <c r="G217" s="50"/>
      <c r="H217" s="50"/>
      <c r="I217" s="5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1"/>
      <c r="G218" s="50"/>
      <c r="H218" s="50"/>
      <c r="I218" s="5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1"/>
      <c r="G219" s="50"/>
      <c r="H219" s="50"/>
      <c r="I219" s="5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1"/>
      <c r="G220" s="50"/>
      <c r="H220" s="50"/>
      <c r="I220" s="5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1"/>
      <c r="G221" s="50"/>
      <c r="H221" s="50"/>
      <c r="I221" s="5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1"/>
      <c r="G222" s="50"/>
      <c r="H222" s="50"/>
      <c r="I222" s="5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1"/>
      <c r="G223" s="50"/>
      <c r="H223" s="50"/>
      <c r="I223" s="5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1"/>
      <c r="G224" s="50"/>
      <c r="H224" s="50"/>
      <c r="I224" s="5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1"/>
      <c r="G225" s="50"/>
      <c r="H225" s="50"/>
      <c r="I225" s="5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1"/>
      <c r="G226" s="50"/>
      <c r="H226" s="50"/>
      <c r="I226" s="5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1"/>
      <c r="G227" s="50"/>
      <c r="H227" s="50"/>
      <c r="I227" s="5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1"/>
      <c r="G228" s="50"/>
      <c r="H228" s="50"/>
      <c r="I228" s="5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1"/>
      <c r="G229" s="50"/>
      <c r="H229" s="50"/>
      <c r="I229" s="5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1"/>
      <c r="G230" s="50"/>
      <c r="H230" s="50"/>
      <c r="I230" s="5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1"/>
      <c r="G231" s="50"/>
      <c r="H231" s="50"/>
      <c r="I231" s="5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1"/>
      <c r="G232" s="50"/>
      <c r="H232" s="50"/>
      <c r="I232" s="5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1"/>
      <c r="G233" s="50"/>
      <c r="H233" s="50"/>
      <c r="I233" s="5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1"/>
      <c r="G234" s="50"/>
      <c r="H234" s="50"/>
      <c r="I234" s="5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1"/>
      <c r="G235" s="50"/>
      <c r="H235" s="50"/>
      <c r="I235" s="5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1"/>
      <c r="G236" s="50"/>
      <c r="H236" s="50"/>
      <c r="I236" s="5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1"/>
      <c r="G237" s="50"/>
      <c r="H237" s="50"/>
      <c r="I237" s="5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1"/>
      <c r="G238" s="50"/>
      <c r="H238" s="50"/>
      <c r="I238" s="5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1"/>
      <c r="G239" s="50"/>
      <c r="H239" s="50"/>
      <c r="I239" s="5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1"/>
      <c r="G240" s="50"/>
      <c r="H240" s="50"/>
      <c r="I240" s="5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1"/>
      <c r="G241" s="50"/>
      <c r="H241" s="50"/>
      <c r="I241" s="5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1"/>
      <c r="G242" s="50"/>
      <c r="H242" s="50"/>
      <c r="I242" s="5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1"/>
      <c r="G243" s="50"/>
      <c r="H243" s="50"/>
      <c r="I243" s="5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1"/>
      <c r="G244" s="50"/>
      <c r="H244" s="50"/>
      <c r="I244" s="5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1"/>
      <c r="G245" s="50"/>
      <c r="H245" s="50"/>
      <c r="I245" s="5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1"/>
      <c r="G246" s="50"/>
      <c r="H246" s="50"/>
      <c r="I246" s="5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1"/>
      <c r="G247" s="50"/>
      <c r="H247" s="50"/>
      <c r="I247" s="5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1"/>
      <c r="G248" s="50"/>
      <c r="H248" s="50"/>
      <c r="I248" s="5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1"/>
      <c r="G249" s="50"/>
      <c r="H249" s="50"/>
      <c r="I249" s="5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1"/>
      <c r="G250" s="50"/>
      <c r="H250" s="50"/>
      <c r="I250" s="5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1"/>
      <c r="G251" s="50"/>
      <c r="H251" s="50"/>
      <c r="I251" s="5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1"/>
      <c r="G252" s="50"/>
      <c r="H252" s="50"/>
      <c r="I252" s="5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1"/>
      <c r="G253" s="50"/>
      <c r="H253" s="50"/>
      <c r="I253" s="5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1"/>
      <c r="G254" s="50"/>
      <c r="H254" s="50"/>
      <c r="I254" s="5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1"/>
      <c r="G255" s="50"/>
      <c r="H255" s="50"/>
      <c r="I255" s="5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1"/>
      <c r="G256" s="50"/>
      <c r="H256" s="50"/>
      <c r="I256" s="5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1"/>
      <c r="G257" s="50"/>
      <c r="H257" s="50"/>
      <c r="I257" s="5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1"/>
      <c r="G258" s="50"/>
      <c r="H258" s="50"/>
      <c r="I258" s="5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1"/>
      <c r="G259" s="50"/>
      <c r="H259" s="50"/>
      <c r="I259" s="5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1"/>
      <c r="G260" s="50"/>
      <c r="H260" s="50"/>
      <c r="I260" s="5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1"/>
      <c r="G261" s="50"/>
      <c r="H261" s="50"/>
      <c r="I261" s="5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1"/>
      <c r="G262" s="50"/>
      <c r="H262" s="50"/>
      <c r="I262" s="5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1"/>
      <c r="G263" s="50"/>
      <c r="H263" s="50"/>
      <c r="I263" s="5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1"/>
      <c r="G264" s="50"/>
      <c r="H264" s="50"/>
      <c r="I264" s="5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1"/>
      <c r="G265" s="50"/>
      <c r="H265" s="50"/>
      <c r="I265" s="5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1"/>
      <c r="G266" s="50"/>
      <c r="H266" s="50"/>
      <c r="I266" s="5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1"/>
      <c r="G267" s="50"/>
      <c r="H267" s="50"/>
      <c r="I267" s="5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1"/>
      <c r="G268" s="50"/>
      <c r="H268" s="50"/>
      <c r="I268" s="5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1"/>
      <c r="G269" s="50"/>
      <c r="H269" s="50"/>
      <c r="I269" s="5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1"/>
      <c r="G270" s="50"/>
      <c r="H270" s="50"/>
      <c r="I270" s="5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1"/>
      <c r="G271" s="50"/>
      <c r="H271" s="50"/>
      <c r="I271" s="5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1"/>
      <c r="G272" s="50"/>
      <c r="H272" s="50"/>
      <c r="I272" s="5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1"/>
      <c r="G273" s="50"/>
      <c r="H273" s="50"/>
      <c r="I273" s="5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1"/>
      <c r="G274" s="50"/>
      <c r="H274" s="50"/>
      <c r="I274" s="5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1"/>
      <c r="G275" s="50"/>
      <c r="H275" s="50"/>
      <c r="I275" s="5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1"/>
      <c r="G276" s="50"/>
      <c r="H276" s="50"/>
      <c r="I276" s="5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1"/>
      <c r="G277" s="50"/>
      <c r="H277" s="50"/>
      <c r="I277" s="5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1"/>
      <c r="G278" s="50"/>
      <c r="H278" s="50"/>
      <c r="I278" s="5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1"/>
      <c r="G279" s="50"/>
      <c r="H279" s="50"/>
      <c r="I279" s="5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1"/>
      <c r="G280" s="50"/>
      <c r="H280" s="50"/>
      <c r="I280" s="5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1"/>
      <c r="G281" s="50"/>
      <c r="H281" s="50"/>
      <c r="I281" s="5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1"/>
      <c r="G282" s="50"/>
      <c r="H282" s="50"/>
      <c r="I282" s="5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1"/>
      <c r="G283" s="50"/>
      <c r="H283" s="50"/>
      <c r="I283" s="5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1"/>
      <c r="G284" s="50"/>
      <c r="H284" s="50"/>
      <c r="I284" s="5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1"/>
      <c r="G285" s="50"/>
      <c r="H285" s="50"/>
      <c r="I285" s="5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1"/>
      <c r="G286" s="50"/>
      <c r="H286" s="50"/>
      <c r="I286" s="5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1"/>
      <c r="G287" s="50"/>
      <c r="H287" s="50"/>
      <c r="I287" s="5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1"/>
      <c r="G288" s="50"/>
      <c r="H288" s="50"/>
      <c r="I288" s="5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1"/>
      <c r="G289" s="50"/>
      <c r="H289" s="50"/>
      <c r="I289" s="5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1"/>
      <c r="G290" s="50"/>
      <c r="H290" s="50"/>
      <c r="I290" s="5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1"/>
      <c r="G291" s="50"/>
      <c r="H291" s="50"/>
      <c r="I291" s="5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1"/>
      <c r="G292" s="50"/>
      <c r="H292" s="50"/>
      <c r="I292" s="5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1"/>
      <c r="G293" s="50"/>
      <c r="H293" s="50"/>
      <c r="I293" s="5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1"/>
      <c r="G294" s="50"/>
      <c r="H294" s="50"/>
      <c r="I294" s="5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1"/>
      <c r="G295" s="50"/>
      <c r="H295" s="50"/>
      <c r="I295" s="5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1"/>
      <c r="G296" s="50"/>
      <c r="H296" s="50"/>
      <c r="I296" s="5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1"/>
      <c r="G297" s="50"/>
      <c r="H297" s="50"/>
      <c r="I297" s="5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1"/>
      <c r="G298" s="50"/>
      <c r="H298" s="50"/>
      <c r="I298" s="5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1"/>
      <c r="G299" s="50"/>
      <c r="H299" s="50"/>
      <c r="I299" s="5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1"/>
      <c r="G300" s="50"/>
      <c r="H300" s="50"/>
      <c r="I300" s="5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1"/>
      <c r="G301" s="50"/>
      <c r="H301" s="50"/>
      <c r="I301" s="5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1"/>
      <c r="G302" s="50"/>
      <c r="H302" s="50"/>
      <c r="I302" s="5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1"/>
      <c r="G303" s="50"/>
      <c r="H303" s="50"/>
      <c r="I303" s="5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1"/>
      <c r="G304" s="50"/>
      <c r="H304" s="50"/>
      <c r="I304" s="5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1"/>
      <c r="G305" s="50"/>
      <c r="H305" s="50"/>
      <c r="I305" s="5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1"/>
      <c r="G306" s="50"/>
      <c r="H306" s="50"/>
      <c r="I306" s="5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1"/>
      <c r="G307" s="50"/>
      <c r="H307" s="50"/>
      <c r="I307" s="5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1"/>
      <c r="G308" s="50"/>
      <c r="H308" s="50"/>
      <c r="I308" s="5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1"/>
      <c r="G309" s="50"/>
      <c r="H309" s="50"/>
      <c r="I309" s="5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1"/>
      <c r="G310" s="50"/>
      <c r="H310" s="50"/>
      <c r="I310" s="5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1"/>
      <c r="G311" s="50"/>
      <c r="H311" s="50"/>
      <c r="I311" s="5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1"/>
      <c r="G312" s="50"/>
      <c r="H312" s="50"/>
      <c r="I312" s="5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1"/>
      <c r="G313" s="50"/>
      <c r="H313" s="50"/>
      <c r="I313" s="5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1"/>
      <c r="G314" s="50"/>
      <c r="H314" s="50"/>
      <c r="I314" s="5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1"/>
      <c r="G315" s="50"/>
      <c r="H315" s="50"/>
      <c r="I315" s="5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1"/>
      <c r="G316" s="50"/>
      <c r="H316" s="50"/>
      <c r="I316" s="5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1"/>
      <c r="G317" s="50"/>
      <c r="H317" s="50"/>
      <c r="I317" s="5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1"/>
      <c r="G318" s="50"/>
      <c r="H318" s="50"/>
      <c r="I318" s="5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1"/>
      <c r="G319" s="50"/>
      <c r="H319" s="50"/>
      <c r="I319" s="5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1"/>
      <c r="G320" s="50"/>
      <c r="H320" s="50"/>
      <c r="I320" s="5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1"/>
      <c r="G321" s="50"/>
      <c r="H321" s="50"/>
      <c r="I321" s="5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1"/>
      <c r="G322" s="50"/>
      <c r="H322" s="50"/>
      <c r="I322" s="5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1"/>
      <c r="G323" s="50"/>
      <c r="H323" s="50"/>
      <c r="I323" s="5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1"/>
      <c r="G324" s="50"/>
      <c r="H324" s="50"/>
      <c r="I324" s="5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1"/>
      <c r="G325" s="50"/>
      <c r="H325" s="50"/>
      <c r="I325" s="5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1"/>
      <c r="G326" s="50"/>
      <c r="H326" s="50"/>
      <c r="I326" s="5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1"/>
      <c r="G327" s="50"/>
      <c r="H327" s="50"/>
      <c r="I327" s="5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1"/>
      <c r="G328" s="50"/>
      <c r="H328" s="50"/>
      <c r="I328" s="5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1"/>
      <c r="G329" s="50"/>
      <c r="H329" s="50"/>
      <c r="I329" s="5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1"/>
      <c r="G330" s="50"/>
      <c r="H330" s="50"/>
      <c r="I330" s="5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1"/>
      <c r="G331" s="50"/>
      <c r="H331" s="50"/>
      <c r="I331" s="5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1"/>
      <c r="G332" s="50"/>
      <c r="H332" s="50"/>
      <c r="I332" s="5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1"/>
      <c r="G333" s="50"/>
      <c r="H333" s="50"/>
      <c r="I333" s="5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1"/>
      <c r="G334" s="50"/>
      <c r="H334" s="50"/>
      <c r="I334" s="5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1"/>
      <c r="G335" s="50"/>
      <c r="H335" s="50"/>
      <c r="I335" s="5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1"/>
      <c r="G336" s="50"/>
      <c r="H336" s="50"/>
      <c r="I336" s="5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1"/>
      <c r="G337" s="50"/>
      <c r="H337" s="50"/>
      <c r="I337" s="5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1"/>
      <c r="G338" s="50"/>
      <c r="H338" s="50"/>
      <c r="I338" s="5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1"/>
      <c r="G339" s="50"/>
      <c r="H339" s="50"/>
      <c r="I339" s="5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1"/>
      <c r="G340" s="50"/>
      <c r="H340" s="50"/>
      <c r="I340" s="5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1"/>
      <c r="G341" s="50"/>
      <c r="H341" s="50"/>
      <c r="I341" s="5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1"/>
      <c r="G342" s="50"/>
      <c r="H342" s="50"/>
      <c r="I342" s="5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1"/>
      <c r="G343" s="50"/>
      <c r="H343" s="50"/>
      <c r="I343" s="5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1"/>
      <c r="G344" s="50"/>
      <c r="H344" s="50"/>
      <c r="I344" s="5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1"/>
      <c r="G345" s="50"/>
      <c r="H345" s="50"/>
      <c r="I345" s="5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1"/>
      <c r="G346" s="50"/>
      <c r="H346" s="50"/>
      <c r="I346" s="5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1"/>
      <c r="G347" s="50"/>
      <c r="H347" s="50"/>
      <c r="I347" s="5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1"/>
      <c r="G348" s="50"/>
      <c r="H348" s="50"/>
      <c r="I348" s="5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1"/>
      <c r="G349" s="50"/>
      <c r="H349" s="50"/>
      <c r="I349" s="5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1"/>
      <c r="G350" s="50"/>
      <c r="H350" s="50"/>
      <c r="I350" s="5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1"/>
      <c r="G351" s="50"/>
      <c r="H351" s="50"/>
      <c r="I351" s="5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1"/>
      <c r="G352" s="50"/>
      <c r="H352" s="50"/>
      <c r="I352" s="5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1"/>
      <c r="G353" s="50"/>
      <c r="H353" s="50"/>
      <c r="I353" s="5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1"/>
      <c r="G354" s="50"/>
      <c r="H354" s="50"/>
      <c r="I354" s="5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1"/>
      <c r="G355" s="50"/>
      <c r="H355" s="50"/>
      <c r="I355" s="5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1"/>
      <c r="G356" s="50"/>
      <c r="H356" s="50"/>
      <c r="I356" s="5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1"/>
      <c r="G357" s="50"/>
      <c r="H357" s="50"/>
      <c r="I357" s="5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1"/>
      <c r="G358" s="50"/>
      <c r="H358" s="50"/>
      <c r="I358" s="5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1"/>
      <c r="G359" s="50"/>
      <c r="H359" s="50"/>
      <c r="I359" s="5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1"/>
      <c r="G360" s="50"/>
      <c r="H360" s="50"/>
      <c r="I360" s="5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1"/>
      <c r="G361" s="50"/>
      <c r="H361" s="50"/>
      <c r="I361" s="5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1"/>
      <c r="G362" s="50"/>
      <c r="H362" s="50"/>
      <c r="I362" s="5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1"/>
      <c r="G363" s="50"/>
      <c r="H363" s="50"/>
      <c r="I363" s="5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1"/>
      <c r="G364" s="50"/>
      <c r="H364" s="50"/>
      <c r="I364" s="5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1"/>
      <c r="G365" s="50"/>
      <c r="H365" s="50"/>
      <c r="I365" s="5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1"/>
      <c r="G366" s="50"/>
      <c r="H366" s="50"/>
      <c r="I366" s="5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1"/>
      <c r="G367" s="50"/>
      <c r="H367" s="50"/>
      <c r="I367" s="5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1"/>
      <c r="G368" s="50"/>
      <c r="H368" s="50"/>
      <c r="I368" s="5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1"/>
      <c r="G369" s="50"/>
      <c r="H369" s="50"/>
      <c r="I369" s="5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1"/>
      <c r="G370" s="50"/>
      <c r="H370" s="50"/>
      <c r="I370" s="5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1"/>
      <c r="G371" s="50"/>
      <c r="H371" s="50"/>
      <c r="I371" s="5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1"/>
      <c r="G372" s="50"/>
      <c r="H372" s="50"/>
      <c r="I372" s="5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1"/>
      <c r="G373" s="50"/>
      <c r="H373" s="50"/>
      <c r="I373" s="5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1"/>
      <c r="G374" s="50"/>
      <c r="H374" s="50"/>
      <c r="I374" s="5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1"/>
      <c r="G375" s="50"/>
      <c r="H375" s="50"/>
      <c r="I375" s="5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1"/>
      <c r="G376" s="50"/>
      <c r="H376" s="50"/>
      <c r="I376" s="5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1"/>
      <c r="G377" s="50"/>
      <c r="H377" s="50"/>
      <c r="I377" s="5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1"/>
      <c r="G378" s="50"/>
      <c r="H378" s="50"/>
      <c r="I378" s="5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1"/>
      <c r="G379" s="50"/>
      <c r="H379" s="50"/>
      <c r="I379" s="5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1"/>
      <c r="G380" s="50"/>
      <c r="H380" s="50"/>
      <c r="I380" s="5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1"/>
      <c r="G381" s="50"/>
      <c r="H381" s="50"/>
      <c r="I381" s="5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1"/>
      <c r="G382" s="50"/>
      <c r="H382" s="50"/>
      <c r="I382" s="5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1"/>
      <c r="G383" s="50"/>
      <c r="H383" s="50"/>
      <c r="I383" s="5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1"/>
      <c r="G384" s="50"/>
      <c r="H384" s="50"/>
      <c r="I384" s="5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1"/>
      <c r="G385" s="50"/>
      <c r="H385" s="50"/>
      <c r="I385" s="5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1"/>
      <c r="G386" s="50"/>
      <c r="H386" s="50"/>
      <c r="I386" s="5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1"/>
      <c r="G387" s="50"/>
      <c r="H387" s="50"/>
      <c r="I387" s="5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1"/>
      <c r="G388" s="50"/>
      <c r="H388" s="50"/>
      <c r="I388" s="5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1"/>
      <c r="G389" s="50"/>
      <c r="H389" s="50"/>
      <c r="I389" s="5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1"/>
      <c r="G390" s="50"/>
      <c r="H390" s="50"/>
      <c r="I390" s="5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1"/>
      <c r="G391" s="50"/>
      <c r="H391" s="50"/>
      <c r="I391" s="5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1"/>
      <c r="G392" s="50"/>
      <c r="H392" s="50"/>
      <c r="I392" s="5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1"/>
      <c r="G393" s="50"/>
      <c r="H393" s="50"/>
      <c r="I393" s="5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1"/>
      <c r="G394" s="50"/>
      <c r="H394" s="50"/>
      <c r="I394" s="5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1"/>
      <c r="G395" s="50"/>
      <c r="H395" s="50"/>
      <c r="I395" s="5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1"/>
      <c r="G396" s="50"/>
      <c r="H396" s="50"/>
      <c r="I396" s="5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1"/>
      <c r="G397" s="50"/>
      <c r="H397" s="50"/>
      <c r="I397" s="5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1"/>
      <c r="G398" s="50"/>
      <c r="H398" s="50"/>
      <c r="I398" s="5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1"/>
      <c r="G399" s="50"/>
      <c r="H399" s="50"/>
      <c r="I399" s="5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1"/>
      <c r="G400" s="50"/>
      <c r="H400" s="50"/>
      <c r="I400" s="5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1"/>
      <c r="G401" s="50"/>
      <c r="H401" s="50"/>
      <c r="I401" s="5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1"/>
      <c r="G402" s="50"/>
      <c r="H402" s="50"/>
      <c r="I402" s="5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1"/>
      <c r="G403" s="50"/>
      <c r="H403" s="50"/>
      <c r="I403" s="5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1"/>
      <c r="G404" s="50"/>
      <c r="H404" s="50"/>
      <c r="I404" s="5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1"/>
      <c r="G405" s="50"/>
      <c r="H405" s="50"/>
      <c r="I405" s="5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1"/>
      <c r="G406" s="50"/>
      <c r="H406" s="50"/>
      <c r="I406" s="5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1"/>
      <c r="G407" s="50"/>
      <c r="H407" s="50"/>
      <c r="I407" s="5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1"/>
      <c r="G408" s="50"/>
      <c r="H408" s="50"/>
      <c r="I408" s="5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1"/>
      <c r="G409" s="50"/>
      <c r="H409" s="50"/>
      <c r="I409" s="5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1"/>
      <c r="G410" s="50"/>
      <c r="H410" s="50"/>
      <c r="I410" s="5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1"/>
      <c r="G411" s="50"/>
      <c r="H411" s="50"/>
      <c r="I411" s="5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1"/>
      <c r="G412" s="50"/>
      <c r="H412" s="50"/>
      <c r="I412" s="5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1"/>
      <c r="G413" s="50"/>
      <c r="H413" s="50"/>
      <c r="I413" s="5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1"/>
      <c r="G414" s="50"/>
      <c r="H414" s="50"/>
      <c r="I414" s="5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1"/>
      <c r="G415" s="50"/>
      <c r="H415" s="50"/>
      <c r="I415" s="5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1"/>
      <c r="G416" s="50"/>
      <c r="H416" s="50"/>
      <c r="I416" s="5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1"/>
      <c r="G417" s="50"/>
      <c r="H417" s="50"/>
      <c r="I417" s="5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1"/>
      <c r="G418" s="50"/>
      <c r="H418" s="50"/>
      <c r="I418" s="5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1"/>
      <c r="G419" s="50"/>
      <c r="H419" s="50"/>
      <c r="I419" s="5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1"/>
      <c r="G420" s="50"/>
      <c r="H420" s="50"/>
      <c r="I420" s="5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1"/>
      <c r="G421" s="50"/>
      <c r="H421" s="50"/>
      <c r="I421" s="5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1"/>
      <c r="G422" s="50"/>
      <c r="H422" s="50"/>
      <c r="I422" s="5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1"/>
      <c r="G423" s="50"/>
      <c r="H423" s="50"/>
      <c r="I423" s="5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1"/>
      <c r="G424" s="50"/>
      <c r="H424" s="50"/>
      <c r="I424" s="5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1"/>
      <c r="G425" s="50"/>
      <c r="H425" s="50"/>
      <c r="I425" s="5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1"/>
      <c r="G426" s="50"/>
      <c r="H426" s="50"/>
      <c r="I426" s="5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1"/>
      <c r="G427" s="50"/>
      <c r="H427" s="50"/>
      <c r="I427" s="5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1"/>
      <c r="G428" s="50"/>
      <c r="H428" s="50"/>
      <c r="I428" s="5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1"/>
      <c r="G429" s="50"/>
      <c r="H429" s="50"/>
      <c r="I429" s="5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1"/>
      <c r="G430" s="50"/>
      <c r="H430" s="50"/>
      <c r="I430" s="5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1"/>
      <c r="G431" s="50"/>
      <c r="H431" s="50"/>
      <c r="I431" s="5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1"/>
      <c r="G432" s="50"/>
      <c r="H432" s="50"/>
      <c r="I432" s="5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1"/>
      <c r="G433" s="50"/>
      <c r="H433" s="50"/>
      <c r="I433" s="5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1"/>
      <c r="G434" s="50"/>
      <c r="H434" s="50"/>
      <c r="I434" s="5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1"/>
      <c r="G435" s="50"/>
      <c r="H435" s="50"/>
      <c r="I435" s="5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1"/>
      <c r="G436" s="50"/>
      <c r="H436" s="50"/>
      <c r="I436" s="5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1"/>
      <c r="G437" s="50"/>
      <c r="H437" s="50"/>
      <c r="I437" s="5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1"/>
      <c r="G438" s="50"/>
      <c r="H438" s="50"/>
      <c r="I438" s="5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1"/>
      <c r="G439" s="50"/>
      <c r="H439" s="50"/>
      <c r="I439" s="5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1"/>
      <c r="G440" s="50"/>
      <c r="H440" s="50"/>
      <c r="I440" s="5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1"/>
      <c r="G441" s="50"/>
      <c r="H441" s="50"/>
      <c r="I441" s="5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1"/>
      <c r="G442" s="50"/>
      <c r="H442" s="50"/>
      <c r="I442" s="5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1"/>
      <c r="G443" s="50"/>
      <c r="H443" s="50"/>
      <c r="I443" s="5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1"/>
      <c r="G444" s="50"/>
      <c r="H444" s="50"/>
      <c r="I444" s="5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1"/>
      <c r="G445" s="50"/>
      <c r="H445" s="50"/>
      <c r="I445" s="5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1"/>
      <c r="G446" s="50"/>
      <c r="H446" s="50"/>
      <c r="I446" s="5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1"/>
      <c r="G447" s="50"/>
      <c r="H447" s="50"/>
      <c r="I447" s="5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1"/>
      <c r="G448" s="50"/>
      <c r="H448" s="50"/>
      <c r="I448" s="5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1"/>
      <c r="G449" s="50"/>
      <c r="H449" s="50"/>
      <c r="I449" s="5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1"/>
      <c r="G450" s="50"/>
      <c r="H450" s="50"/>
      <c r="I450" s="5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1"/>
      <c r="G451" s="50"/>
      <c r="H451" s="50"/>
      <c r="I451" s="5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1"/>
      <c r="G452" s="50"/>
      <c r="H452" s="50"/>
      <c r="I452" s="5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1"/>
      <c r="G453" s="50"/>
      <c r="H453" s="50"/>
      <c r="I453" s="5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1"/>
      <c r="G454" s="50"/>
      <c r="H454" s="50"/>
      <c r="I454" s="5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1"/>
      <c r="G455" s="50"/>
      <c r="H455" s="50"/>
      <c r="I455" s="5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1"/>
      <c r="G456" s="50"/>
      <c r="H456" s="50"/>
      <c r="I456" s="5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1"/>
      <c r="G457" s="50"/>
      <c r="H457" s="50"/>
      <c r="I457" s="5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1"/>
      <c r="G458" s="50"/>
      <c r="H458" s="50"/>
      <c r="I458" s="5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1"/>
      <c r="G459" s="50"/>
      <c r="H459" s="50"/>
      <c r="I459" s="5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1"/>
      <c r="G460" s="50"/>
      <c r="H460" s="50"/>
      <c r="I460" s="5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1"/>
      <c r="G461" s="50"/>
      <c r="H461" s="50"/>
      <c r="I461" s="5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1"/>
      <c r="G462" s="50"/>
      <c r="H462" s="50"/>
      <c r="I462" s="5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1"/>
      <c r="G463" s="50"/>
      <c r="H463" s="50"/>
      <c r="I463" s="5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1"/>
      <c r="G464" s="50"/>
      <c r="H464" s="50"/>
      <c r="I464" s="5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1"/>
      <c r="G465" s="50"/>
      <c r="H465" s="50"/>
      <c r="I465" s="5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1"/>
      <c r="G466" s="50"/>
      <c r="H466" s="50"/>
      <c r="I466" s="5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1"/>
      <c r="G467" s="50"/>
      <c r="H467" s="50"/>
      <c r="I467" s="5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1"/>
      <c r="G468" s="50"/>
      <c r="H468" s="50"/>
      <c r="I468" s="5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1"/>
      <c r="G469" s="50"/>
      <c r="H469" s="50"/>
      <c r="I469" s="5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1"/>
      <c r="G470" s="50"/>
      <c r="H470" s="50"/>
      <c r="I470" s="5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1"/>
      <c r="G471" s="50"/>
      <c r="H471" s="50"/>
      <c r="I471" s="5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1"/>
      <c r="G472" s="50"/>
      <c r="H472" s="50"/>
      <c r="I472" s="5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1"/>
      <c r="G473" s="50"/>
      <c r="H473" s="50"/>
      <c r="I473" s="5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1"/>
      <c r="G474" s="50"/>
      <c r="H474" s="50"/>
      <c r="I474" s="5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1"/>
      <c r="G475" s="50"/>
      <c r="H475" s="50"/>
      <c r="I475" s="5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1"/>
      <c r="G476" s="50"/>
      <c r="H476" s="50"/>
      <c r="I476" s="5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1"/>
      <c r="G477" s="50"/>
      <c r="H477" s="50"/>
      <c r="I477" s="5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1"/>
      <c r="G478" s="50"/>
      <c r="H478" s="50"/>
      <c r="I478" s="5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1"/>
      <c r="G479" s="50"/>
      <c r="H479" s="50"/>
      <c r="I479" s="5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1"/>
      <c r="G480" s="50"/>
      <c r="H480" s="50"/>
      <c r="I480" s="5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1"/>
      <c r="G481" s="50"/>
      <c r="H481" s="50"/>
      <c r="I481" s="5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1"/>
      <c r="G482" s="50"/>
      <c r="H482" s="50"/>
      <c r="I482" s="5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1"/>
      <c r="G483" s="50"/>
      <c r="H483" s="50"/>
      <c r="I483" s="5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1"/>
      <c r="G484" s="50"/>
      <c r="H484" s="50"/>
      <c r="I484" s="5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1"/>
      <c r="G485" s="50"/>
      <c r="H485" s="50"/>
      <c r="I485" s="5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1"/>
      <c r="G486" s="50"/>
      <c r="H486" s="50"/>
      <c r="I486" s="5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1"/>
      <c r="G487" s="50"/>
      <c r="H487" s="50"/>
      <c r="I487" s="5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1"/>
      <c r="G488" s="50"/>
      <c r="H488" s="50"/>
      <c r="I488" s="5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1"/>
      <c r="G489" s="50"/>
      <c r="H489" s="50"/>
      <c r="I489" s="5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1"/>
      <c r="G490" s="50"/>
      <c r="H490" s="50"/>
      <c r="I490" s="5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1"/>
      <c r="G491" s="50"/>
      <c r="H491" s="50"/>
      <c r="I491" s="5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1"/>
      <c r="G492" s="50"/>
      <c r="H492" s="50"/>
      <c r="I492" s="5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1"/>
      <c r="G493" s="50"/>
      <c r="H493" s="50"/>
      <c r="I493" s="5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1"/>
      <c r="G494" s="50"/>
      <c r="H494" s="50"/>
      <c r="I494" s="5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1"/>
      <c r="G495" s="50"/>
      <c r="H495" s="50"/>
      <c r="I495" s="5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1"/>
      <c r="G496" s="50"/>
      <c r="H496" s="50"/>
      <c r="I496" s="5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1"/>
      <c r="G497" s="50"/>
      <c r="H497" s="50"/>
      <c r="I497" s="5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1"/>
      <c r="G498" s="50"/>
      <c r="H498" s="50"/>
      <c r="I498" s="5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1"/>
      <c r="G499" s="50"/>
      <c r="H499" s="50"/>
      <c r="I499" s="5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1"/>
      <c r="G500" s="50"/>
      <c r="H500" s="50"/>
      <c r="I500" s="5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1"/>
      <c r="G501" s="50"/>
      <c r="H501" s="50"/>
      <c r="I501" s="5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1"/>
      <c r="G502" s="50"/>
      <c r="H502" s="50"/>
      <c r="I502" s="5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1"/>
      <c r="G503" s="50"/>
      <c r="H503" s="50"/>
      <c r="I503" s="5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1"/>
      <c r="G504" s="50"/>
      <c r="H504" s="50"/>
      <c r="I504" s="5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1"/>
      <c r="G505" s="50"/>
      <c r="H505" s="50"/>
      <c r="I505" s="5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1"/>
      <c r="G506" s="50"/>
      <c r="H506" s="50"/>
      <c r="I506" s="5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1"/>
      <c r="G507" s="50"/>
      <c r="H507" s="50"/>
      <c r="I507" s="5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1"/>
      <c r="G508" s="50"/>
      <c r="H508" s="50"/>
      <c r="I508" s="5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1"/>
      <c r="G509" s="50"/>
      <c r="H509" s="50"/>
      <c r="I509" s="5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1"/>
      <c r="G510" s="50"/>
      <c r="H510" s="50"/>
      <c r="I510" s="5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1"/>
      <c r="G511" s="50"/>
      <c r="H511" s="50"/>
      <c r="I511" s="5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1"/>
      <c r="G512" s="50"/>
      <c r="H512" s="50"/>
      <c r="I512" s="5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1"/>
      <c r="G513" s="50"/>
      <c r="H513" s="50"/>
      <c r="I513" s="5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1"/>
      <c r="G514" s="50"/>
      <c r="H514" s="50"/>
      <c r="I514" s="5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1"/>
      <c r="G515" s="50"/>
      <c r="H515" s="50"/>
      <c r="I515" s="5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1"/>
      <c r="G516" s="50"/>
      <c r="H516" s="50"/>
      <c r="I516" s="5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1"/>
      <c r="G517" s="50"/>
      <c r="H517" s="50"/>
      <c r="I517" s="5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1"/>
      <c r="G518" s="50"/>
      <c r="H518" s="50"/>
      <c r="I518" s="5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1"/>
      <c r="G519" s="50"/>
      <c r="H519" s="50"/>
      <c r="I519" s="5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1"/>
      <c r="G520" s="50"/>
      <c r="H520" s="50"/>
      <c r="I520" s="5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1"/>
      <c r="G521" s="50"/>
      <c r="H521" s="50"/>
      <c r="I521" s="5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1"/>
      <c r="G522" s="50"/>
      <c r="H522" s="50"/>
      <c r="I522" s="5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1"/>
      <c r="G523" s="50"/>
      <c r="H523" s="50"/>
      <c r="I523" s="5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1"/>
      <c r="G524" s="50"/>
      <c r="H524" s="50"/>
      <c r="I524" s="5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1"/>
      <c r="G525" s="50"/>
      <c r="H525" s="50"/>
      <c r="I525" s="5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1"/>
      <c r="G526" s="50"/>
      <c r="H526" s="50"/>
      <c r="I526" s="5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1"/>
      <c r="G527" s="50"/>
      <c r="H527" s="50"/>
      <c r="I527" s="5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1"/>
      <c r="G528" s="50"/>
      <c r="H528" s="50"/>
      <c r="I528" s="5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1"/>
      <c r="G529" s="50"/>
      <c r="H529" s="50"/>
      <c r="I529" s="5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1"/>
      <c r="G530" s="50"/>
      <c r="H530" s="50"/>
      <c r="I530" s="5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1"/>
      <c r="G531" s="50"/>
      <c r="H531" s="50"/>
      <c r="I531" s="5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1"/>
      <c r="G532" s="50"/>
      <c r="H532" s="50"/>
      <c r="I532" s="5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1"/>
      <c r="G533" s="50"/>
      <c r="H533" s="50"/>
      <c r="I533" s="5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1"/>
      <c r="G534" s="50"/>
      <c r="H534" s="50"/>
      <c r="I534" s="5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1"/>
      <c r="G535" s="50"/>
      <c r="H535" s="50"/>
      <c r="I535" s="5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1"/>
      <c r="G536" s="50"/>
      <c r="H536" s="50"/>
      <c r="I536" s="5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1"/>
      <c r="G537" s="50"/>
      <c r="H537" s="50"/>
      <c r="I537" s="5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1"/>
      <c r="G538" s="50"/>
      <c r="H538" s="50"/>
      <c r="I538" s="5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1"/>
      <c r="G539" s="50"/>
      <c r="H539" s="50"/>
      <c r="I539" s="5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1"/>
      <c r="G540" s="50"/>
      <c r="H540" s="50"/>
      <c r="I540" s="5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1"/>
      <c r="G541" s="50"/>
      <c r="H541" s="50"/>
      <c r="I541" s="5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1"/>
      <c r="G542" s="50"/>
      <c r="H542" s="50"/>
      <c r="I542" s="5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1"/>
      <c r="G543" s="50"/>
      <c r="H543" s="50"/>
      <c r="I543" s="5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1"/>
      <c r="G544" s="50"/>
      <c r="H544" s="50"/>
      <c r="I544" s="5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1"/>
      <c r="G545" s="50"/>
      <c r="H545" s="50"/>
      <c r="I545" s="5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1"/>
      <c r="G546" s="50"/>
      <c r="H546" s="50"/>
      <c r="I546" s="5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1"/>
      <c r="G547" s="50"/>
      <c r="H547" s="50"/>
      <c r="I547" s="5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1"/>
      <c r="G548" s="50"/>
      <c r="H548" s="50"/>
      <c r="I548" s="5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1"/>
      <c r="G549" s="50"/>
      <c r="H549" s="50"/>
      <c r="I549" s="5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1"/>
      <c r="G550" s="50"/>
      <c r="H550" s="50"/>
      <c r="I550" s="5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1"/>
      <c r="G551" s="50"/>
      <c r="H551" s="50"/>
      <c r="I551" s="5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1"/>
      <c r="G552" s="50"/>
      <c r="H552" s="50"/>
      <c r="I552" s="5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1"/>
      <c r="G553" s="50"/>
      <c r="H553" s="50"/>
      <c r="I553" s="5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1"/>
      <c r="G554" s="50"/>
      <c r="H554" s="50"/>
      <c r="I554" s="5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1"/>
      <c r="G555" s="50"/>
      <c r="H555" s="50"/>
      <c r="I555" s="5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1"/>
      <c r="G556" s="50"/>
      <c r="H556" s="50"/>
      <c r="I556" s="5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1"/>
      <c r="G557" s="50"/>
      <c r="H557" s="50"/>
      <c r="I557" s="5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1"/>
      <c r="G558" s="50"/>
      <c r="H558" s="50"/>
      <c r="I558" s="5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1"/>
      <c r="G559" s="50"/>
      <c r="H559" s="50"/>
      <c r="I559" s="5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1"/>
      <c r="G560" s="50"/>
      <c r="H560" s="50"/>
      <c r="I560" s="5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1"/>
      <c r="G561" s="50"/>
      <c r="H561" s="50"/>
      <c r="I561" s="5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1"/>
      <c r="G562" s="50"/>
      <c r="H562" s="50"/>
      <c r="I562" s="5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1"/>
      <c r="G563" s="50"/>
      <c r="H563" s="50"/>
      <c r="I563" s="5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1"/>
      <c r="G564" s="50"/>
      <c r="H564" s="50"/>
      <c r="I564" s="5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1"/>
      <c r="G565" s="50"/>
      <c r="H565" s="50"/>
      <c r="I565" s="5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1"/>
      <c r="G566" s="50"/>
      <c r="H566" s="50"/>
      <c r="I566" s="5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1"/>
      <c r="G567" s="50"/>
      <c r="H567" s="50"/>
      <c r="I567" s="5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1"/>
      <c r="G568" s="50"/>
      <c r="H568" s="50"/>
      <c r="I568" s="5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1"/>
      <c r="G569" s="50"/>
      <c r="H569" s="50"/>
      <c r="I569" s="5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1"/>
      <c r="G570" s="50"/>
      <c r="H570" s="50"/>
      <c r="I570" s="5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1"/>
      <c r="G571" s="50"/>
      <c r="H571" s="50"/>
      <c r="I571" s="5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1"/>
      <c r="G572" s="50"/>
      <c r="H572" s="50"/>
      <c r="I572" s="5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1"/>
      <c r="G573" s="50"/>
      <c r="H573" s="50"/>
      <c r="I573" s="5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1"/>
      <c r="G574" s="50"/>
      <c r="H574" s="50"/>
      <c r="I574" s="5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1"/>
      <c r="G575" s="50"/>
      <c r="H575" s="50"/>
      <c r="I575" s="5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1"/>
      <c r="G576" s="50"/>
      <c r="H576" s="50"/>
      <c r="I576" s="5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1"/>
      <c r="G577" s="50"/>
      <c r="H577" s="50"/>
      <c r="I577" s="5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1"/>
      <c r="G578" s="50"/>
      <c r="H578" s="50"/>
      <c r="I578" s="5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1"/>
      <c r="G579" s="50"/>
      <c r="H579" s="50"/>
      <c r="I579" s="5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1"/>
      <c r="G580" s="50"/>
      <c r="H580" s="50"/>
      <c r="I580" s="5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1"/>
      <c r="G581" s="50"/>
      <c r="H581" s="50"/>
      <c r="I581" s="5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1"/>
      <c r="G582" s="50"/>
      <c r="H582" s="50"/>
      <c r="I582" s="5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1"/>
      <c r="G583" s="50"/>
      <c r="H583" s="50"/>
      <c r="I583" s="5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1"/>
      <c r="G584" s="50"/>
      <c r="H584" s="50"/>
      <c r="I584" s="5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1"/>
      <c r="G585" s="50"/>
      <c r="H585" s="50"/>
      <c r="I585" s="5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1"/>
      <c r="G586" s="50"/>
      <c r="H586" s="50"/>
      <c r="I586" s="5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1"/>
      <c r="G587" s="50"/>
      <c r="H587" s="50"/>
      <c r="I587" s="5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1"/>
      <c r="G588" s="50"/>
      <c r="H588" s="50"/>
      <c r="I588" s="5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1"/>
      <c r="G589" s="50"/>
      <c r="H589" s="50"/>
      <c r="I589" s="5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1"/>
      <c r="G590" s="50"/>
      <c r="H590" s="50"/>
      <c r="I590" s="5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1"/>
      <c r="G591" s="50"/>
      <c r="H591" s="50"/>
      <c r="I591" s="5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1"/>
      <c r="G592" s="50"/>
      <c r="H592" s="50"/>
      <c r="I592" s="5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1"/>
      <c r="G593" s="50"/>
      <c r="H593" s="50"/>
      <c r="I593" s="5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1"/>
      <c r="G594" s="50"/>
      <c r="H594" s="50"/>
      <c r="I594" s="5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1"/>
      <c r="G595" s="50"/>
      <c r="H595" s="50"/>
      <c r="I595" s="5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1"/>
      <c r="G596" s="50"/>
      <c r="H596" s="50"/>
      <c r="I596" s="5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1"/>
      <c r="G597" s="50"/>
      <c r="H597" s="50"/>
      <c r="I597" s="5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1"/>
      <c r="G598" s="50"/>
      <c r="H598" s="50"/>
      <c r="I598" s="5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1"/>
      <c r="G599" s="50"/>
      <c r="H599" s="50"/>
      <c r="I599" s="5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1"/>
      <c r="G600" s="50"/>
      <c r="H600" s="50"/>
      <c r="I600" s="5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1"/>
      <c r="G601" s="50"/>
      <c r="H601" s="50"/>
      <c r="I601" s="5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1"/>
      <c r="G602" s="50"/>
      <c r="H602" s="50"/>
      <c r="I602" s="5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1"/>
      <c r="G603" s="50"/>
      <c r="H603" s="50"/>
      <c r="I603" s="5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1"/>
      <c r="G604" s="50"/>
      <c r="H604" s="50"/>
      <c r="I604" s="5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1"/>
      <c r="G605" s="50"/>
      <c r="H605" s="50"/>
      <c r="I605" s="5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1"/>
      <c r="G606" s="50"/>
      <c r="H606" s="50"/>
      <c r="I606" s="5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1"/>
      <c r="G607" s="50"/>
      <c r="H607" s="50"/>
      <c r="I607" s="5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1"/>
      <c r="G608" s="50"/>
      <c r="H608" s="50"/>
      <c r="I608" s="5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1"/>
      <c r="G609" s="50"/>
      <c r="H609" s="50"/>
      <c r="I609" s="5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1"/>
      <c r="G610" s="50"/>
      <c r="H610" s="50"/>
      <c r="I610" s="5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1"/>
      <c r="G611" s="50"/>
      <c r="H611" s="50"/>
      <c r="I611" s="5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1"/>
      <c r="G612" s="50"/>
      <c r="H612" s="50"/>
      <c r="I612" s="5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1"/>
      <c r="G613" s="50"/>
      <c r="H613" s="50"/>
      <c r="I613" s="5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1"/>
      <c r="G614" s="50"/>
      <c r="H614" s="50"/>
      <c r="I614" s="5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1"/>
      <c r="G615" s="50"/>
      <c r="H615" s="50"/>
      <c r="I615" s="5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1"/>
      <c r="G616" s="50"/>
      <c r="H616" s="50"/>
      <c r="I616" s="5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1"/>
      <c r="G617" s="50"/>
      <c r="H617" s="50"/>
      <c r="I617" s="5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1"/>
      <c r="G618" s="50"/>
      <c r="H618" s="50"/>
      <c r="I618" s="5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1"/>
      <c r="G619" s="50"/>
      <c r="H619" s="50"/>
      <c r="I619" s="5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1"/>
      <c r="G620" s="50"/>
      <c r="H620" s="50"/>
      <c r="I620" s="5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1"/>
      <c r="G621" s="50"/>
      <c r="H621" s="50"/>
      <c r="I621" s="5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1"/>
      <c r="G622" s="50"/>
      <c r="H622" s="50"/>
      <c r="I622" s="5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1"/>
      <c r="G623" s="50"/>
      <c r="H623" s="50"/>
      <c r="I623" s="5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1"/>
      <c r="G624" s="50"/>
      <c r="H624" s="50"/>
      <c r="I624" s="5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1"/>
      <c r="G625" s="50"/>
      <c r="H625" s="50"/>
      <c r="I625" s="5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1"/>
      <c r="G626" s="50"/>
      <c r="H626" s="50"/>
      <c r="I626" s="5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1"/>
      <c r="G627" s="50"/>
      <c r="H627" s="50"/>
      <c r="I627" s="5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1"/>
      <c r="G628" s="50"/>
      <c r="H628" s="50"/>
      <c r="I628" s="5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1"/>
      <c r="G629" s="50"/>
      <c r="H629" s="50"/>
      <c r="I629" s="5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1"/>
      <c r="G630" s="50"/>
      <c r="H630" s="50"/>
      <c r="I630" s="5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1"/>
      <c r="G631" s="50"/>
      <c r="H631" s="50"/>
      <c r="I631" s="5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1"/>
      <c r="G632" s="50"/>
      <c r="H632" s="50"/>
      <c r="I632" s="5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1"/>
      <c r="G633" s="50"/>
      <c r="H633" s="50"/>
      <c r="I633" s="5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1"/>
      <c r="G634" s="50"/>
      <c r="H634" s="50"/>
      <c r="I634" s="5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1"/>
      <c r="G635" s="50"/>
      <c r="H635" s="50"/>
      <c r="I635" s="5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1"/>
      <c r="G636" s="50"/>
      <c r="H636" s="50"/>
      <c r="I636" s="5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1"/>
      <c r="G637" s="50"/>
      <c r="H637" s="50"/>
      <c r="I637" s="5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1"/>
      <c r="G638" s="50"/>
      <c r="H638" s="50"/>
      <c r="I638" s="5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1"/>
      <c r="G639" s="50"/>
      <c r="H639" s="50"/>
      <c r="I639" s="5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1"/>
      <c r="G640" s="50"/>
      <c r="H640" s="50"/>
      <c r="I640" s="5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1"/>
      <c r="G641" s="50"/>
      <c r="H641" s="50"/>
      <c r="I641" s="5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1"/>
      <c r="G642" s="50"/>
      <c r="H642" s="50"/>
      <c r="I642" s="5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1"/>
      <c r="G643" s="50"/>
      <c r="H643" s="50"/>
      <c r="I643" s="5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1"/>
      <c r="G644" s="50"/>
      <c r="H644" s="50"/>
      <c r="I644" s="5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1"/>
      <c r="G645" s="50"/>
      <c r="H645" s="50"/>
      <c r="I645" s="5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1"/>
      <c r="G646" s="50"/>
      <c r="H646" s="50"/>
      <c r="I646" s="5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1"/>
      <c r="G647" s="50"/>
      <c r="H647" s="50"/>
      <c r="I647" s="5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1"/>
      <c r="G648" s="50"/>
      <c r="H648" s="50"/>
      <c r="I648" s="5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1"/>
      <c r="G649" s="50"/>
      <c r="H649" s="50"/>
      <c r="I649" s="5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1"/>
      <c r="G650" s="50"/>
      <c r="H650" s="50"/>
      <c r="I650" s="5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1"/>
      <c r="G651" s="50"/>
      <c r="H651" s="50"/>
      <c r="I651" s="5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1"/>
      <c r="G652" s="50"/>
      <c r="H652" s="50"/>
      <c r="I652" s="5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1"/>
      <c r="G653" s="50"/>
      <c r="H653" s="50"/>
      <c r="I653" s="5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1"/>
      <c r="G654" s="50"/>
      <c r="H654" s="50"/>
      <c r="I654" s="5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1"/>
      <c r="G655" s="50"/>
      <c r="H655" s="50"/>
      <c r="I655" s="5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1"/>
      <c r="G656" s="50"/>
      <c r="H656" s="50"/>
      <c r="I656" s="5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1"/>
      <c r="G657" s="50"/>
      <c r="H657" s="50"/>
      <c r="I657" s="5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1"/>
      <c r="G658" s="50"/>
      <c r="H658" s="50"/>
      <c r="I658" s="5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1"/>
      <c r="G659" s="50"/>
      <c r="H659" s="50"/>
      <c r="I659" s="5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1"/>
      <c r="G660" s="50"/>
      <c r="H660" s="50"/>
      <c r="I660" s="5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1"/>
      <c r="G661" s="50"/>
      <c r="H661" s="50"/>
      <c r="I661" s="5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1"/>
      <c r="G662" s="50"/>
      <c r="H662" s="50"/>
      <c r="I662" s="5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1"/>
      <c r="G663" s="50"/>
      <c r="H663" s="50"/>
      <c r="I663" s="5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1"/>
      <c r="G664" s="50"/>
      <c r="H664" s="50"/>
      <c r="I664" s="5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1"/>
      <c r="G665" s="50"/>
      <c r="H665" s="50"/>
      <c r="I665" s="5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1"/>
      <c r="G666" s="50"/>
      <c r="H666" s="50"/>
      <c r="I666" s="5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1"/>
      <c r="G667" s="50"/>
      <c r="H667" s="50"/>
      <c r="I667" s="5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1"/>
      <c r="G668" s="50"/>
      <c r="H668" s="50"/>
      <c r="I668" s="5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1"/>
      <c r="G669" s="50"/>
      <c r="H669" s="50"/>
      <c r="I669" s="5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1"/>
      <c r="G670" s="50"/>
      <c r="H670" s="50"/>
      <c r="I670" s="5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1"/>
      <c r="G671" s="50"/>
      <c r="H671" s="50"/>
      <c r="I671" s="5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1"/>
      <c r="G672" s="50"/>
      <c r="H672" s="50"/>
      <c r="I672" s="5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1"/>
      <c r="G673" s="50"/>
      <c r="H673" s="50"/>
      <c r="I673" s="5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1"/>
      <c r="G674" s="50"/>
      <c r="H674" s="50"/>
      <c r="I674" s="5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1"/>
      <c r="G675" s="50"/>
      <c r="H675" s="50"/>
      <c r="I675" s="5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1"/>
      <c r="G676" s="50"/>
      <c r="H676" s="50"/>
      <c r="I676" s="5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1"/>
      <c r="G677" s="50"/>
      <c r="H677" s="50"/>
      <c r="I677" s="5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1"/>
      <c r="G678" s="50"/>
      <c r="H678" s="50"/>
      <c r="I678" s="5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1"/>
      <c r="G679" s="50"/>
      <c r="H679" s="50"/>
      <c r="I679" s="5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1"/>
      <c r="G680" s="50"/>
      <c r="H680" s="50"/>
      <c r="I680" s="5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1"/>
      <c r="G681" s="50"/>
      <c r="H681" s="50"/>
      <c r="I681" s="5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1"/>
      <c r="G682" s="50"/>
      <c r="H682" s="50"/>
      <c r="I682" s="5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1"/>
      <c r="G683" s="50"/>
      <c r="H683" s="50"/>
      <c r="I683" s="5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1"/>
      <c r="G684" s="50"/>
      <c r="H684" s="50"/>
      <c r="I684" s="5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1"/>
      <c r="G685" s="50"/>
      <c r="H685" s="50"/>
      <c r="I685" s="5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1"/>
      <c r="G686" s="50"/>
      <c r="H686" s="50"/>
      <c r="I686" s="5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1"/>
      <c r="G687" s="50"/>
      <c r="H687" s="50"/>
      <c r="I687" s="5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1"/>
      <c r="G688" s="50"/>
      <c r="H688" s="50"/>
      <c r="I688" s="5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1"/>
      <c r="G689" s="50"/>
      <c r="H689" s="50"/>
      <c r="I689" s="5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1"/>
      <c r="G690" s="50"/>
      <c r="H690" s="50"/>
      <c r="I690" s="5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1"/>
      <c r="G691" s="50"/>
      <c r="H691" s="50"/>
      <c r="I691" s="5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1"/>
      <c r="G692" s="50"/>
      <c r="H692" s="50"/>
      <c r="I692" s="5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1"/>
      <c r="G693" s="50"/>
      <c r="H693" s="50"/>
      <c r="I693" s="5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1"/>
      <c r="G694" s="50"/>
      <c r="H694" s="50"/>
      <c r="I694" s="5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1"/>
      <c r="G695" s="50"/>
      <c r="H695" s="50"/>
      <c r="I695" s="5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1"/>
      <c r="G696" s="50"/>
      <c r="H696" s="50"/>
      <c r="I696" s="5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1"/>
      <c r="G697" s="50"/>
      <c r="H697" s="50"/>
      <c r="I697" s="5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1"/>
      <c r="G698" s="50"/>
      <c r="H698" s="50"/>
      <c r="I698" s="5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1"/>
      <c r="G699" s="50"/>
      <c r="H699" s="50"/>
      <c r="I699" s="5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1"/>
      <c r="G700" s="50"/>
      <c r="H700" s="50"/>
      <c r="I700" s="5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1"/>
      <c r="G701" s="50"/>
      <c r="H701" s="50"/>
      <c r="I701" s="5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1"/>
      <c r="G702" s="50"/>
      <c r="H702" s="50"/>
      <c r="I702" s="5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1"/>
      <c r="G703" s="50"/>
      <c r="H703" s="50"/>
      <c r="I703" s="5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1"/>
      <c r="G704" s="50"/>
      <c r="H704" s="50"/>
      <c r="I704" s="5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1"/>
      <c r="G705" s="50"/>
      <c r="H705" s="50"/>
      <c r="I705" s="5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1"/>
      <c r="G706" s="50"/>
      <c r="H706" s="50"/>
      <c r="I706" s="5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1"/>
      <c r="G707" s="50"/>
      <c r="H707" s="50"/>
      <c r="I707" s="5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1"/>
      <c r="G708" s="50"/>
      <c r="H708" s="50"/>
      <c r="I708" s="5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1"/>
      <c r="G709" s="50"/>
      <c r="H709" s="50"/>
      <c r="I709" s="5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1"/>
      <c r="G710" s="50"/>
      <c r="H710" s="50"/>
      <c r="I710" s="5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1"/>
      <c r="G711" s="50"/>
      <c r="H711" s="50"/>
      <c r="I711" s="5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1"/>
      <c r="G712" s="50"/>
      <c r="H712" s="50"/>
      <c r="I712" s="5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1"/>
      <c r="G713" s="50"/>
      <c r="H713" s="50"/>
      <c r="I713" s="5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1"/>
      <c r="G714" s="50"/>
      <c r="H714" s="50"/>
      <c r="I714" s="5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1"/>
      <c r="G715" s="50"/>
      <c r="H715" s="50"/>
      <c r="I715" s="5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1"/>
      <c r="G716" s="50"/>
      <c r="H716" s="50"/>
      <c r="I716" s="5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1"/>
      <c r="G717" s="50"/>
      <c r="H717" s="50"/>
      <c r="I717" s="5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1"/>
      <c r="G718" s="50"/>
      <c r="H718" s="50"/>
      <c r="I718" s="5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1"/>
      <c r="G719" s="50"/>
      <c r="H719" s="50"/>
      <c r="I719" s="5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1"/>
      <c r="G720" s="50"/>
      <c r="H720" s="50"/>
      <c r="I720" s="5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1"/>
      <c r="G721" s="50"/>
      <c r="H721" s="50"/>
      <c r="I721" s="5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1"/>
      <c r="G722" s="50"/>
      <c r="H722" s="50"/>
      <c r="I722" s="5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1"/>
      <c r="G723" s="50"/>
      <c r="H723" s="50"/>
      <c r="I723" s="5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1"/>
      <c r="G724" s="50"/>
      <c r="H724" s="50"/>
      <c r="I724" s="5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1"/>
      <c r="G725" s="50"/>
      <c r="H725" s="50"/>
      <c r="I725" s="5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1"/>
      <c r="G726" s="50"/>
      <c r="H726" s="50"/>
      <c r="I726" s="5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1"/>
      <c r="G727" s="50"/>
      <c r="H727" s="50"/>
      <c r="I727" s="5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1"/>
      <c r="G728" s="50"/>
      <c r="H728" s="50"/>
      <c r="I728" s="5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1"/>
      <c r="G729" s="50"/>
      <c r="H729" s="50"/>
      <c r="I729" s="5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1"/>
      <c r="G730" s="50"/>
      <c r="H730" s="50"/>
      <c r="I730" s="5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1"/>
      <c r="G731" s="50"/>
      <c r="H731" s="50"/>
      <c r="I731" s="5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1"/>
      <c r="G732" s="50"/>
      <c r="H732" s="50"/>
      <c r="I732" s="5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1"/>
      <c r="G733" s="50"/>
      <c r="H733" s="50"/>
      <c r="I733" s="5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1"/>
      <c r="G734" s="50"/>
      <c r="H734" s="50"/>
      <c r="I734" s="5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1"/>
      <c r="G735" s="50"/>
      <c r="H735" s="50"/>
      <c r="I735" s="5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1"/>
      <c r="G736" s="50"/>
      <c r="H736" s="50"/>
      <c r="I736" s="5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1"/>
      <c r="G737" s="50"/>
      <c r="H737" s="50"/>
      <c r="I737" s="5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1"/>
      <c r="G738" s="50"/>
      <c r="H738" s="50"/>
      <c r="I738" s="5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1"/>
      <c r="G739" s="50"/>
      <c r="H739" s="50"/>
      <c r="I739" s="5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1"/>
      <c r="G740" s="50"/>
      <c r="H740" s="50"/>
      <c r="I740" s="5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1"/>
      <c r="G741" s="50"/>
      <c r="H741" s="50"/>
      <c r="I741" s="5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1"/>
      <c r="G742" s="50"/>
      <c r="H742" s="50"/>
      <c r="I742" s="5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1"/>
      <c r="G743" s="50"/>
      <c r="H743" s="50"/>
      <c r="I743" s="5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1"/>
      <c r="G744" s="50"/>
      <c r="H744" s="50"/>
      <c r="I744" s="5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1"/>
      <c r="G745" s="50"/>
      <c r="H745" s="50"/>
      <c r="I745" s="5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1"/>
      <c r="G746" s="50"/>
      <c r="H746" s="50"/>
      <c r="I746" s="5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1"/>
      <c r="G747" s="50"/>
      <c r="H747" s="50"/>
      <c r="I747" s="5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1"/>
      <c r="G748" s="50"/>
      <c r="H748" s="50"/>
      <c r="I748" s="5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1"/>
      <c r="G749" s="50"/>
      <c r="H749" s="50"/>
      <c r="I749" s="5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1"/>
      <c r="G750" s="50"/>
      <c r="H750" s="50"/>
      <c r="I750" s="5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1"/>
      <c r="G751" s="50"/>
      <c r="H751" s="50"/>
      <c r="I751" s="5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1"/>
      <c r="G752" s="50"/>
      <c r="H752" s="50"/>
      <c r="I752" s="5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1"/>
      <c r="G753" s="50"/>
      <c r="H753" s="50"/>
      <c r="I753" s="5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1"/>
      <c r="G754" s="50"/>
      <c r="H754" s="50"/>
      <c r="I754" s="5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1"/>
      <c r="G755" s="50"/>
      <c r="H755" s="50"/>
      <c r="I755" s="5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1"/>
      <c r="G756" s="50"/>
      <c r="H756" s="50"/>
      <c r="I756" s="5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1"/>
      <c r="G757" s="50"/>
      <c r="H757" s="50"/>
      <c r="I757" s="5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1"/>
      <c r="G758" s="50"/>
      <c r="H758" s="50"/>
      <c r="I758" s="5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1"/>
      <c r="G759" s="50"/>
      <c r="H759" s="50"/>
      <c r="I759" s="5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1"/>
      <c r="G760" s="50"/>
      <c r="H760" s="50"/>
      <c r="I760" s="5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1"/>
      <c r="G761" s="50"/>
      <c r="H761" s="50"/>
      <c r="I761" s="5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1"/>
      <c r="G762" s="50"/>
      <c r="H762" s="50"/>
      <c r="I762" s="5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1"/>
      <c r="G763" s="50"/>
      <c r="H763" s="50"/>
      <c r="I763" s="5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1"/>
      <c r="G764" s="50"/>
      <c r="H764" s="50"/>
      <c r="I764" s="5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1"/>
      <c r="G765" s="50"/>
      <c r="H765" s="50"/>
      <c r="I765" s="5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1"/>
      <c r="G766" s="50"/>
      <c r="H766" s="50"/>
      <c r="I766" s="5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1"/>
      <c r="G767" s="50"/>
      <c r="H767" s="50"/>
      <c r="I767" s="5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1"/>
      <c r="G768" s="50"/>
      <c r="H768" s="50"/>
      <c r="I768" s="5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1"/>
      <c r="G769" s="50"/>
      <c r="H769" s="50"/>
      <c r="I769" s="5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1"/>
      <c r="G770" s="50"/>
      <c r="H770" s="50"/>
      <c r="I770" s="5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1"/>
      <c r="G771" s="50"/>
      <c r="H771" s="50"/>
      <c r="I771" s="5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1"/>
      <c r="G772" s="50"/>
      <c r="H772" s="50"/>
      <c r="I772" s="5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1"/>
      <c r="G773" s="50"/>
      <c r="H773" s="50"/>
      <c r="I773" s="5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1"/>
      <c r="G774" s="50"/>
      <c r="H774" s="50"/>
      <c r="I774" s="5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1"/>
      <c r="G775" s="50"/>
      <c r="H775" s="50"/>
      <c r="I775" s="5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1"/>
      <c r="G776" s="50"/>
      <c r="H776" s="50"/>
      <c r="I776" s="5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1"/>
      <c r="G777" s="50"/>
      <c r="H777" s="50"/>
      <c r="I777" s="5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1"/>
      <c r="G778" s="50"/>
      <c r="H778" s="50"/>
      <c r="I778" s="5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1"/>
      <c r="G779" s="50"/>
      <c r="H779" s="50"/>
      <c r="I779" s="5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1"/>
      <c r="G780" s="50"/>
      <c r="H780" s="50"/>
      <c r="I780" s="5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1"/>
      <c r="G781" s="50"/>
      <c r="H781" s="50"/>
      <c r="I781" s="5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1"/>
      <c r="G782" s="50"/>
      <c r="H782" s="50"/>
      <c r="I782" s="5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1"/>
      <c r="G783" s="50"/>
      <c r="H783" s="50"/>
      <c r="I783" s="5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1"/>
      <c r="G784" s="50"/>
      <c r="H784" s="50"/>
      <c r="I784" s="5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1"/>
      <c r="G785" s="50"/>
      <c r="H785" s="50"/>
      <c r="I785" s="5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1"/>
      <c r="G786" s="50"/>
      <c r="H786" s="50"/>
      <c r="I786" s="5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1"/>
      <c r="G787" s="50"/>
      <c r="H787" s="50"/>
      <c r="I787" s="5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1"/>
      <c r="G788" s="50"/>
      <c r="H788" s="50"/>
      <c r="I788" s="5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1"/>
      <c r="G789" s="50"/>
      <c r="H789" s="50"/>
      <c r="I789" s="5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1"/>
      <c r="G790" s="50"/>
      <c r="H790" s="50"/>
      <c r="I790" s="5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1"/>
      <c r="G791" s="50"/>
      <c r="H791" s="50"/>
      <c r="I791" s="5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1"/>
      <c r="G792" s="50"/>
      <c r="H792" s="50"/>
      <c r="I792" s="5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1"/>
      <c r="G793" s="50"/>
      <c r="H793" s="50"/>
      <c r="I793" s="5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1"/>
      <c r="G794" s="50"/>
      <c r="H794" s="50"/>
      <c r="I794" s="5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1"/>
      <c r="G795" s="50"/>
      <c r="H795" s="50"/>
      <c r="I795" s="5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1"/>
      <c r="G796" s="50"/>
      <c r="H796" s="50"/>
      <c r="I796" s="5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1"/>
      <c r="G797" s="50"/>
      <c r="H797" s="50"/>
      <c r="I797" s="5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1"/>
      <c r="G798" s="50"/>
      <c r="H798" s="50"/>
      <c r="I798" s="5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1"/>
      <c r="G799" s="50"/>
      <c r="H799" s="50"/>
      <c r="I799" s="5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1"/>
      <c r="G800" s="50"/>
      <c r="H800" s="50"/>
      <c r="I800" s="5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1"/>
      <c r="G801" s="50"/>
      <c r="H801" s="50"/>
      <c r="I801" s="5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1"/>
      <c r="G802" s="50"/>
      <c r="H802" s="50"/>
      <c r="I802" s="5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1"/>
      <c r="G803" s="50"/>
      <c r="H803" s="50"/>
      <c r="I803" s="5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1"/>
      <c r="G804" s="50"/>
      <c r="H804" s="50"/>
      <c r="I804" s="5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1"/>
      <c r="G805" s="50"/>
      <c r="H805" s="50"/>
      <c r="I805" s="5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1"/>
      <c r="G806" s="50"/>
      <c r="H806" s="50"/>
      <c r="I806" s="5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1"/>
      <c r="G807" s="50"/>
      <c r="H807" s="50"/>
      <c r="I807" s="5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1"/>
      <c r="G808" s="50"/>
      <c r="H808" s="50"/>
      <c r="I808" s="5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1"/>
      <c r="G809" s="50"/>
      <c r="H809" s="50"/>
      <c r="I809" s="5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1"/>
      <c r="G810" s="50"/>
      <c r="H810" s="50"/>
      <c r="I810" s="5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1"/>
      <c r="G811" s="50"/>
      <c r="H811" s="50"/>
      <c r="I811" s="5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1"/>
      <c r="G812" s="50"/>
      <c r="H812" s="50"/>
      <c r="I812" s="5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1"/>
      <c r="G813" s="50"/>
      <c r="H813" s="50"/>
      <c r="I813" s="5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1"/>
      <c r="G814" s="50"/>
      <c r="H814" s="50"/>
      <c r="I814" s="5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1"/>
      <c r="G815" s="50"/>
      <c r="H815" s="50"/>
      <c r="I815" s="5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1"/>
      <c r="G816" s="50"/>
      <c r="H816" s="50"/>
      <c r="I816" s="5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1"/>
      <c r="G817" s="50"/>
      <c r="H817" s="50"/>
      <c r="I817" s="5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1"/>
      <c r="G818" s="50"/>
      <c r="H818" s="50"/>
      <c r="I818" s="5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1"/>
      <c r="G819" s="50"/>
      <c r="H819" s="50"/>
      <c r="I819" s="5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1"/>
      <c r="G820" s="50"/>
      <c r="H820" s="50"/>
      <c r="I820" s="5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1"/>
      <c r="G821" s="50"/>
      <c r="H821" s="50"/>
      <c r="I821" s="5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1"/>
      <c r="G822" s="50"/>
      <c r="H822" s="50"/>
      <c r="I822" s="5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1"/>
      <c r="G823" s="50"/>
      <c r="H823" s="50"/>
      <c r="I823" s="5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1"/>
      <c r="G824" s="50"/>
      <c r="H824" s="50"/>
      <c r="I824" s="5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1"/>
      <c r="G825" s="50"/>
      <c r="H825" s="50"/>
      <c r="I825" s="5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1"/>
      <c r="G826" s="50"/>
      <c r="H826" s="50"/>
      <c r="I826" s="5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1"/>
      <c r="G827" s="50"/>
      <c r="H827" s="50"/>
      <c r="I827" s="5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1"/>
      <c r="G828" s="50"/>
      <c r="H828" s="50"/>
      <c r="I828" s="5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1"/>
      <c r="G829" s="50"/>
      <c r="H829" s="50"/>
      <c r="I829" s="5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1"/>
      <c r="G830" s="50"/>
      <c r="H830" s="50"/>
      <c r="I830" s="5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1"/>
      <c r="G831" s="50"/>
      <c r="H831" s="50"/>
      <c r="I831" s="5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1"/>
      <c r="G832" s="50"/>
      <c r="H832" s="50"/>
      <c r="I832" s="5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1"/>
      <c r="G833" s="50"/>
      <c r="H833" s="50"/>
      <c r="I833" s="5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1"/>
      <c r="G834" s="50"/>
      <c r="H834" s="50"/>
      <c r="I834" s="5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1"/>
      <c r="G835" s="50"/>
      <c r="H835" s="50"/>
      <c r="I835" s="5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1"/>
      <c r="G836" s="50"/>
      <c r="H836" s="50"/>
      <c r="I836" s="5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1"/>
      <c r="G837" s="50"/>
      <c r="H837" s="50"/>
      <c r="I837" s="5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1"/>
      <c r="G838" s="50"/>
      <c r="H838" s="50"/>
      <c r="I838" s="5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1"/>
      <c r="G839" s="50"/>
      <c r="H839" s="50"/>
      <c r="I839" s="5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1"/>
      <c r="G840" s="50"/>
      <c r="H840" s="50"/>
      <c r="I840" s="5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1"/>
      <c r="G841" s="50"/>
      <c r="H841" s="50"/>
      <c r="I841" s="5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1"/>
      <c r="G842" s="50"/>
      <c r="H842" s="50"/>
      <c r="I842" s="5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1"/>
      <c r="G843" s="50"/>
      <c r="H843" s="50"/>
      <c r="I843" s="5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1"/>
      <c r="G844" s="50"/>
      <c r="H844" s="50"/>
      <c r="I844" s="5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1"/>
      <c r="G845" s="50"/>
      <c r="H845" s="50"/>
      <c r="I845" s="5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1"/>
      <c r="G846" s="50"/>
      <c r="H846" s="50"/>
      <c r="I846" s="5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1"/>
      <c r="G847" s="50"/>
      <c r="H847" s="50"/>
      <c r="I847" s="5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1"/>
      <c r="G848" s="50"/>
      <c r="H848" s="50"/>
      <c r="I848" s="5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1"/>
      <c r="G849" s="50"/>
      <c r="H849" s="50"/>
      <c r="I849" s="5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1"/>
      <c r="G850" s="50"/>
      <c r="H850" s="50"/>
      <c r="I850" s="5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1"/>
      <c r="G851" s="50"/>
      <c r="H851" s="50"/>
      <c r="I851" s="5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1"/>
      <c r="G852" s="50"/>
      <c r="H852" s="50"/>
      <c r="I852" s="5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1"/>
      <c r="G853" s="50"/>
      <c r="H853" s="50"/>
      <c r="I853" s="5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1"/>
      <c r="G854" s="50"/>
      <c r="H854" s="50"/>
      <c r="I854" s="5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1"/>
      <c r="G855" s="50"/>
      <c r="H855" s="50"/>
      <c r="I855" s="5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1"/>
      <c r="G856" s="50"/>
      <c r="H856" s="50"/>
      <c r="I856" s="5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1"/>
      <c r="G857" s="50"/>
      <c r="H857" s="50"/>
      <c r="I857" s="5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1"/>
      <c r="G858" s="50"/>
      <c r="H858" s="50"/>
      <c r="I858" s="5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1"/>
      <c r="G859" s="50"/>
      <c r="H859" s="50"/>
      <c r="I859" s="5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1"/>
      <c r="G860" s="50"/>
      <c r="H860" s="50"/>
      <c r="I860" s="5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1"/>
      <c r="G861" s="50"/>
      <c r="H861" s="50"/>
      <c r="I861" s="5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1"/>
      <c r="G862" s="50"/>
      <c r="H862" s="50"/>
      <c r="I862" s="5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1"/>
      <c r="G863" s="50"/>
      <c r="H863" s="50"/>
      <c r="I863" s="5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1"/>
      <c r="G864" s="50"/>
      <c r="H864" s="50"/>
      <c r="I864" s="5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1"/>
      <c r="G865" s="50"/>
      <c r="H865" s="50"/>
      <c r="I865" s="5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1"/>
      <c r="G866" s="50"/>
      <c r="H866" s="50"/>
      <c r="I866" s="5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1"/>
      <c r="G867" s="50"/>
      <c r="H867" s="50"/>
      <c r="I867" s="5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1"/>
      <c r="G868" s="50"/>
      <c r="H868" s="50"/>
      <c r="I868" s="5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1"/>
      <c r="G869" s="50"/>
      <c r="H869" s="50"/>
      <c r="I869" s="5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1"/>
      <c r="G870" s="50"/>
      <c r="H870" s="50"/>
      <c r="I870" s="5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1"/>
      <c r="G871" s="50"/>
      <c r="H871" s="50"/>
      <c r="I871" s="5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1"/>
      <c r="G872" s="50"/>
      <c r="H872" s="50"/>
      <c r="I872" s="5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1"/>
      <c r="G873" s="50"/>
      <c r="H873" s="50"/>
      <c r="I873" s="5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1"/>
      <c r="G874" s="50"/>
      <c r="H874" s="50"/>
      <c r="I874" s="5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1"/>
      <c r="G875" s="50"/>
      <c r="H875" s="50"/>
      <c r="I875" s="5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1"/>
      <c r="G876" s="50"/>
      <c r="H876" s="50"/>
      <c r="I876" s="5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1"/>
      <c r="G877" s="50"/>
      <c r="H877" s="50"/>
      <c r="I877" s="5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1"/>
      <c r="G878" s="50"/>
      <c r="H878" s="50"/>
      <c r="I878" s="5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1"/>
      <c r="G879" s="50"/>
      <c r="H879" s="50"/>
      <c r="I879" s="5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1"/>
      <c r="G880" s="50"/>
      <c r="H880" s="50"/>
      <c r="I880" s="5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1"/>
      <c r="G881" s="50"/>
      <c r="H881" s="50"/>
      <c r="I881" s="5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1"/>
      <c r="G882" s="50"/>
      <c r="H882" s="50"/>
      <c r="I882" s="5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1"/>
      <c r="G883" s="50"/>
      <c r="H883" s="50"/>
      <c r="I883" s="5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1"/>
      <c r="G884" s="50"/>
      <c r="H884" s="50"/>
      <c r="I884" s="5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1"/>
      <c r="G885" s="50"/>
      <c r="H885" s="50"/>
      <c r="I885" s="5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1"/>
      <c r="G886" s="50"/>
      <c r="H886" s="50"/>
      <c r="I886" s="5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1"/>
      <c r="G887" s="50"/>
      <c r="H887" s="50"/>
      <c r="I887" s="5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1"/>
      <c r="G888" s="50"/>
      <c r="H888" s="50"/>
      <c r="I888" s="5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1"/>
      <c r="G889" s="50"/>
      <c r="H889" s="50"/>
      <c r="I889" s="5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1"/>
      <c r="G890" s="50"/>
      <c r="H890" s="50"/>
      <c r="I890" s="5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1"/>
      <c r="G891" s="50"/>
      <c r="H891" s="50"/>
      <c r="I891" s="5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1"/>
      <c r="G892" s="50"/>
      <c r="H892" s="50"/>
      <c r="I892" s="5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1"/>
      <c r="G893" s="50"/>
      <c r="H893" s="50"/>
      <c r="I893" s="5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1"/>
      <c r="G894" s="50"/>
      <c r="H894" s="50"/>
      <c r="I894" s="5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1"/>
      <c r="G895" s="50"/>
      <c r="H895" s="50"/>
      <c r="I895" s="5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1"/>
      <c r="G896" s="50"/>
      <c r="H896" s="50"/>
      <c r="I896" s="5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1"/>
      <c r="G897" s="50"/>
      <c r="H897" s="50"/>
      <c r="I897" s="5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1"/>
      <c r="G898" s="50"/>
      <c r="H898" s="50"/>
      <c r="I898" s="5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1"/>
      <c r="G899" s="50"/>
      <c r="H899" s="50"/>
      <c r="I899" s="5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1"/>
      <c r="G900" s="50"/>
      <c r="H900" s="50"/>
      <c r="I900" s="5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1"/>
      <c r="G901" s="50"/>
      <c r="H901" s="50"/>
      <c r="I901" s="5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1"/>
      <c r="G902" s="50"/>
      <c r="H902" s="50"/>
      <c r="I902" s="5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1"/>
      <c r="G903" s="50"/>
      <c r="H903" s="50"/>
      <c r="I903" s="5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1"/>
      <c r="G904" s="50"/>
      <c r="H904" s="50"/>
      <c r="I904" s="5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1"/>
      <c r="G905" s="50"/>
      <c r="H905" s="50"/>
      <c r="I905" s="5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1"/>
      <c r="G906" s="50"/>
      <c r="H906" s="50"/>
      <c r="I906" s="5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1"/>
      <c r="G907" s="50"/>
      <c r="H907" s="50"/>
      <c r="I907" s="5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1"/>
      <c r="G908" s="50"/>
      <c r="H908" s="50"/>
      <c r="I908" s="5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1"/>
      <c r="G909" s="50"/>
      <c r="H909" s="50"/>
      <c r="I909" s="5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1"/>
      <c r="G910" s="50"/>
      <c r="H910" s="50"/>
      <c r="I910" s="5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1"/>
      <c r="G911" s="50"/>
      <c r="H911" s="50"/>
      <c r="I911" s="5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1"/>
      <c r="G912" s="50"/>
      <c r="H912" s="50"/>
      <c r="I912" s="5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1"/>
      <c r="G913" s="50"/>
      <c r="H913" s="50"/>
      <c r="I913" s="5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1"/>
      <c r="G914" s="50"/>
      <c r="H914" s="50"/>
      <c r="I914" s="5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1"/>
      <c r="G915" s="50"/>
      <c r="H915" s="50"/>
      <c r="I915" s="5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1"/>
      <c r="G916" s="50"/>
      <c r="H916" s="50"/>
      <c r="I916" s="5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1"/>
      <c r="G917" s="50"/>
      <c r="H917" s="50"/>
      <c r="I917" s="5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1"/>
      <c r="G918" s="50"/>
      <c r="H918" s="50"/>
      <c r="I918" s="5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1"/>
      <c r="G919" s="50"/>
      <c r="H919" s="50"/>
      <c r="I919" s="5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1"/>
      <c r="G920" s="50"/>
      <c r="H920" s="50"/>
      <c r="I920" s="5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1"/>
      <c r="G921" s="50"/>
      <c r="H921" s="50"/>
      <c r="I921" s="5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1"/>
      <c r="G922" s="50"/>
      <c r="H922" s="50"/>
      <c r="I922" s="5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1"/>
      <c r="G923" s="50"/>
      <c r="H923" s="50"/>
      <c r="I923" s="5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1"/>
      <c r="G924" s="50"/>
      <c r="H924" s="50"/>
      <c r="I924" s="5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1"/>
      <c r="G925" s="50"/>
      <c r="H925" s="50"/>
      <c r="I925" s="5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1"/>
      <c r="G926" s="50"/>
      <c r="H926" s="50"/>
      <c r="I926" s="5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1"/>
      <c r="G927" s="50"/>
      <c r="H927" s="50"/>
      <c r="I927" s="5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1"/>
      <c r="G928" s="50"/>
      <c r="H928" s="50"/>
      <c r="I928" s="5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1"/>
      <c r="G929" s="50"/>
      <c r="H929" s="50"/>
      <c r="I929" s="5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1"/>
      <c r="G930" s="50"/>
      <c r="H930" s="50"/>
      <c r="I930" s="5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1"/>
      <c r="G931" s="50"/>
      <c r="H931" s="50"/>
      <c r="I931" s="5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1"/>
      <c r="G932" s="50"/>
      <c r="H932" s="50"/>
      <c r="I932" s="5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1"/>
      <c r="G933" s="50"/>
      <c r="H933" s="50"/>
      <c r="I933" s="5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1"/>
      <c r="G934" s="50"/>
      <c r="H934" s="50"/>
      <c r="I934" s="5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1"/>
      <c r="G935" s="50"/>
      <c r="H935" s="50"/>
      <c r="I935" s="5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1"/>
      <c r="G936" s="50"/>
      <c r="H936" s="50"/>
      <c r="I936" s="5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1"/>
      <c r="G937" s="50"/>
      <c r="H937" s="50"/>
      <c r="I937" s="5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1"/>
      <c r="G938" s="50"/>
      <c r="H938" s="50"/>
      <c r="I938" s="5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1"/>
      <c r="G939" s="50"/>
      <c r="H939" s="50"/>
      <c r="I939" s="5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1"/>
      <c r="G940" s="50"/>
      <c r="H940" s="50"/>
      <c r="I940" s="5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1"/>
      <c r="G941" s="50"/>
      <c r="H941" s="50"/>
      <c r="I941" s="5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1"/>
      <c r="G942" s="50"/>
      <c r="H942" s="50"/>
      <c r="I942" s="5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1"/>
      <c r="G943" s="50"/>
      <c r="H943" s="50"/>
      <c r="I943" s="5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1"/>
      <c r="G944" s="50"/>
      <c r="H944" s="50"/>
      <c r="I944" s="5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1"/>
      <c r="G945" s="50"/>
      <c r="H945" s="50"/>
      <c r="I945" s="5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1"/>
      <c r="G946" s="50"/>
      <c r="H946" s="50"/>
      <c r="I946" s="5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1"/>
      <c r="G947" s="50"/>
      <c r="H947" s="50"/>
      <c r="I947" s="5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1"/>
      <c r="G948" s="50"/>
      <c r="H948" s="50"/>
      <c r="I948" s="5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1"/>
      <c r="G949" s="50"/>
      <c r="H949" s="50"/>
      <c r="I949" s="5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1"/>
      <c r="G950" s="50"/>
      <c r="H950" s="50"/>
      <c r="I950" s="5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1"/>
      <c r="G951" s="50"/>
      <c r="H951" s="50"/>
      <c r="I951" s="5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1"/>
      <c r="G952" s="50"/>
      <c r="H952" s="50"/>
      <c r="I952" s="5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1"/>
      <c r="G953" s="50"/>
      <c r="H953" s="50"/>
      <c r="I953" s="5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1"/>
      <c r="G954" s="50"/>
      <c r="H954" s="50"/>
      <c r="I954" s="5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1"/>
      <c r="G955" s="50"/>
      <c r="H955" s="50"/>
      <c r="I955" s="5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1"/>
      <c r="G956" s="50"/>
      <c r="H956" s="50"/>
      <c r="I956" s="5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1"/>
      <c r="G957" s="50"/>
      <c r="H957" s="50"/>
      <c r="I957" s="5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1"/>
      <c r="G958" s="50"/>
      <c r="H958" s="50"/>
      <c r="I958" s="5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1"/>
      <c r="G959" s="50"/>
      <c r="H959" s="50"/>
      <c r="I959" s="5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1"/>
      <c r="G960" s="50"/>
      <c r="H960" s="50"/>
      <c r="I960" s="5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1"/>
      <c r="G961" s="50"/>
      <c r="H961" s="50"/>
      <c r="I961" s="5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1"/>
      <c r="G962" s="50"/>
      <c r="H962" s="50"/>
      <c r="I962" s="5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1"/>
      <c r="G963" s="50"/>
      <c r="H963" s="50"/>
      <c r="I963" s="5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1"/>
      <c r="G964" s="50"/>
      <c r="H964" s="50"/>
      <c r="I964" s="5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1"/>
      <c r="G965" s="50"/>
      <c r="H965" s="50"/>
      <c r="I965" s="5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1"/>
      <c r="G966" s="50"/>
      <c r="H966" s="50"/>
      <c r="I966" s="5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1"/>
      <c r="G967" s="50"/>
      <c r="H967" s="50"/>
      <c r="I967" s="5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1"/>
      <c r="G968" s="50"/>
      <c r="H968" s="50"/>
      <c r="I968" s="5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1"/>
      <c r="G969" s="50"/>
      <c r="H969" s="50"/>
      <c r="I969" s="5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1"/>
      <c r="G970" s="50"/>
      <c r="H970" s="50"/>
      <c r="I970" s="5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1"/>
      <c r="G971" s="50"/>
      <c r="H971" s="50"/>
      <c r="I971" s="5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1"/>
      <c r="G972" s="50"/>
      <c r="H972" s="50"/>
      <c r="I972" s="5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1"/>
      <c r="G973" s="50"/>
      <c r="H973" s="50"/>
      <c r="I973" s="5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1"/>
      <c r="G974" s="50"/>
      <c r="H974" s="50"/>
      <c r="I974" s="5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1"/>
      <c r="G975" s="50"/>
      <c r="H975" s="50"/>
      <c r="I975" s="5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1"/>
      <c r="G976" s="50"/>
      <c r="H976" s="50"/>
      <c r="I976" s="5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1"/>
      <c r="G977" s="50"/>
      <c r="H977" s="50"/>
      <c r="I977" s="5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1"/>
      <c r="G978" s="50"/>
      <c r="H978" s="50"/>
      <c r="I978" s="5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1"/>
      <c r="G979" s="50"/>
      <c r="H979" s="50"/>
      <c r="I979" s="5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1"/>
      <c r="G980" s="50"/>
      <c r="H980" s="50"/>
      <c r="I980" s="5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1"/>
      <c r="G981" s="50"/>
      <c r="H981" s="50"/>
      <c r="I981" s="5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1"/>
      <c r="G982" s="50"/>
      <c r="H982" s="50"/>
      <c r="I982" s="5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1"/>
      <c r="G983" s="50"/>
      <c r="H983" s="50"/>
      <c r="I983" s="5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1"/>
      <c r="G984" s="50"/>
      <c r="H984" s="50"/>
      <c r="I984" s="5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1"/>
      <c r="G985" s="50"/>
      <c r="H985" s="50"/>
      <c r="I985" s="5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1"/>
      <c r="G986" s="50"/>
      <c r="H986" s="50"/>
      <c r="I986" s="5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1"/>
      <c r="G987" s="50"/>
      <c r="H987" s="50"/>
      <c r="I987" s="5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1"/>
      <c r="G988" s="50"/>
      <c r="H988" s="50"/>
      <c r="I988" s="5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1"/>
      <c r="G989" s="50"/>
      <c r="H989" s="50"/>
      <c r="I989" s="5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1"/>
      <c r="G990" s="50"/>
      <c r="H990" s="50"/>
      <c r="I990" s="5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1"/>
      <c r="G991" s="50"/>
      <c r="H991" s="50"/>
      <c r="I991" s="5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1"/>
      <c r="G992" s="50"/>
      <c r="H992" s="50"/>
      <c r="I992" s="5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1"/>
      <c r="G993" s="50"/>
      <c r="H993" s="50"/>
      <c r="I993" s="5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1"/>
      <c r="G994" s="50"/>
      <c r="H994" s="50"/>
      <c r="I994" s="5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1"/>
      <c r="G995" s="50"/>
      <c r="H995" s="50"/>
      <c r="I995" s="5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1"/>
      <c r="G996" s="50"/>
      <c r="H996" s="50"/>
      <c r="I996" s="5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1"/>
      <c r="G997" s="50"/>
      <c r="H997" s="50"/>
      <c r="I997" s="5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1"/>
      <c r="G998" s="50"/>
      <c r="H998" s="50"/>
      <c r="I998" s="5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1"/>
      <c r="G999" s="50"/>
      <c r="H999" s="50"/>
      <c r="I999" s="5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1"/>
      <c r="G1000" s="50"/>
      <c r="H1000" s="50"/>
      <c r="I1000" s="5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1"/>
      <c r="G1001" s="50"/>
      <c r="H1001" s="50"/>
      <c r="I1001" s="50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5" x14ac:dyDescent="0.25">
      <c r="A1002" s="1"/>
      <c r="B1002" s="1"/>
      <c r="C1002" s="1"/>
      <c r="D1002" s="1"/>
      <c r="E1002" s="1"/>
      <c r="F1002" s="1"/>
      <c r="G1002" s="50"/>
      <c r="H1002" s="50"/>
      <c r="I1002" s="50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5" x14ac:dyDescent="0.25">
      <c r="A1003" s="1"/>
      <c r="B1003" s="1"/>
      <c r="C1003" s="1"/>
      <c r="D1003" s="1"/>
      <c r="E1003" s="1"/>
      <c r="F1003" s="1"/>
      <c r="G1003" s="50"/>
      <c r="H1003" s="50"/>
      <c r="I1003" s="50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5" x14ac:dyDescent="0.25">
      <c r="A1004" s="1"/>
      <c r="B1004" s="1"/>
      <c r="C1004" s="1"/>
      <c r="D1004" s="1"/>
      <c r="E1004" s="1"/>
      <c r="F1004" s="1"/>
      <c r="G1004" s="50"/>
      <c r="H1004" s="50"/>
      <c r="I1004" s="50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5" x14ac:dyDescent="0.25">
      <c r="A1005" s="1"/>
      <c r="B1005" s="1"/>
      <c r="C1005" s="1"/>
      <c r="D1005" s="1"/>
      <c r="E1005" s="1"/>
      <c r="F1005" s="1"/>
      <c r="G1005" s="50"/>
      <c r="H1005" s="50"/>
      <c r="I1005" s="50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5" x14ac:dyDescent="0.25">
      <c r="A1006" s="1"/>
      <c r="B1006" s="1"/>
      <c r="C1006" s="1"/>
      <c r="D1006" s="1"/>
      <c r="E1006" s="1"/>
      <c r="F1006" s="1"/>
      <c r="G1006" s="50"/>
      <c r="H1006" s="50"/>
      <c r="I1006" s="50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2.5" x14ac:dyDescent="0.25">
      <c r="A1007" s="1"/>
      <c r="B1007" s="1"/>
      <c r="C1007" s="1"/>
      <c r="D1007" s="1"/>
      <c r="E1007" s="1"/>
      <c r="F1007" s="1"/>
      <c r="G1007" s="50"/>
      <c r="H1007" s="50"/>
      <c r="I1007" s="50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2.5" x14ac:dyDescent="0.25">
      <c r="A1008" s="1"/>
      <c r="B1008" s="1"/>
      <c r="C1008" s="1"/>
      <c r="D1008" s="1"/>
      <c r="E1008" s="1"/>
      <c r="F1008" s="1"/>
      <c r="G1008" s="50"/>
      <c r="H1008" s="50"/>
      <c r="I1008" s="50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2.5" x14ac:dyDescent="0.25">
      <c r="A1009" s="1"/>
      <c r="B1009" s="1"/>
      <c r="C1009" s="1"/>
      <c r="D1009" s="1"/>
      <c r="E1009" s="1"/>
      <c r="F1009" s="1"/>
      <c r="G1009" s="50"/>
      <c r="H1009" s="50"/>
      <c r="I1009" s="50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2.5" x14ac:dyDescent="0.25">
      <c r="A1010" s="1"/>
      <c r="B1010" s="1"/>
      <c r="C1010" s="1"/>
      <c r="D1010" s="1"/>
      <c r="E1010" s="1"/>
      <c r="F1010" s="1"/>
      <c r="G1010" s="50"/>
      <c r="H1010" s="50"/>
      <c r="I1010" s="50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2.5" x14ac:dyDescent="0.25">
      <c r="A1011" s="1"/>
      <c r="B1011" s="1"/>
      <c r="C1011" s="1"/>
      <c r="D1011" s="1"/>
      <c r="E1011" s="1"/>
      <c r="F1011" s="1"/>
      <c r="G1011" s="50"/>
      <c r="H1011" s="50"/>
      <c r="I1011" s="50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2.5" x14ac:dyDescent="0.25">
      <c r="A1012" s="1"/>
      <c r="B1012" s="1"/>
      <c r="C1012" s="1"/>
      <c r="D1012" s="1"/>
      <c r="E1012" s="1"/>
      <c r="F1012" s="1"/>
      <c r="G1012" s="50"/>
      <c r="H1012" s="50"/>
      <c r="I1012" s="50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2.5" x14ac:dyDescent="0.25">
      <c r="A1013" s="1"/>
      <c r="B1013" s="1"/>
      <c r="C1013" s="1"/>
      <c r="D1013" s="1"/>
      <c r="E1013" s="1"/>
      <c r="F1013" s="1"/>
      <c r="G1013" s="50"/>
      <c r="H1013" s="50"/>
      <c r="I1013" s="50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2.5" x14ac:dyDescent="0.25">
      <c r="A1014" s="1"/>
      <c r="B1014" s="1"/>
      <c r="C1014" s="1"/>
      <c r="D1014" s="1"/>
      <c r="E1014" s="1"/>
      <c r="F1014" s="1"/>
      <c r="G1014" s="50"/>
      <c r="H1014" s="50"/>
      <c r="I1014" s="50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2.5" x14ac:dyDescent="0.25">
      <c r="A1015" s="1"/>
      <c r="B1015" s="1"/>
      <c r="C1015" s="1"/>
      <c r="D1015" s="1"/>
      <c r="E1015" s="1"/>
      <c r="F1015" s="1"/>
      <c r="G1015" s="50"/>
      <c r="H1015" s="50"/>
      <c r="I1015" s="50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2.5" x14ac:dyDescent="0.25">
      <c r="A1016" s="1"/>
      <c r="B1016" s="1"/>
      <c r="C1016" s="1"/>
      <c r="D1016" s="1"/>
      <c r="E1016" s="1"/>
      <c r="F1016" s="1"/>
      <c r="G1016" s="50"/>
      <c r="H1016" s="50"/>
      <c r="I1016" s="50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2.5" x14ac:dyDescent="0.25">
      <c r="A1017" s="1"/>
      <c r="B1017" s="1"/>
      <c r="C1017" s="1"/>
      <c r="D1017" s="1"/>
      <c r="E1017" s="1"/>
      <c r="F1017" s="1"/>
      <c r="G1017" s="50"/>
      <c r="H1017" s="50"/>
      <c r="I1017" s="50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2.5" x14ac:dyDescent="0.25">
      <c r="A1018" s="1"/>
      <c r="B1018" s="1"/>
      <c r="C1018" s="1"/>
      <c r="D1018" s="1"/>
      <c r="E1018" s="1"/>
      <c r="F1018" s="1"/>
      <c r="G1018" s="50"/>
      <c r="H1018" s="50"/>
      <c r="I1018" s="50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2.5" x14ac:dyDescent="0.25">
      <c r="A1019" s="1"/>
      <c r="B1019" s="1"/>
      <c r="C1019" s="1"/>
      <c r="D1019" s="1"/>
      <c r="E1019" s="1"/>
      <c r="F1019" s="1"/>
      <c r="G1019" s="50"/>
      <c r="H1019" s="50"/>
      <c r="I1019" s="50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2.5" x14ac:dyDescent="0.25">
      <c r="A1020" s="1"/>
      <c r="B1020" s="1"/>
      <c r="C1020" s="1"/>
      <c r="D1020" s="1"/>
      <c r="E1020" s="1"/>
      <c r="F1020" s="1"/>
      <c r="G1020" s="50"/>
      <c r="H1020" s="50"/>
      <c r="I1020" s="50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2.5" x14ac:dyDescent="0.25">
      <c r="A1021" s="1"/>
      <c r="B1021" s="1"/>
      <c r="C1021" s="1"/>
      <c r="D1021" s="1"/>
      <c r="E1021" s="1"/>
      <c r="F1021" s="1"/>
      <c r="G1021" s="50"/>
      <c r="H1021" s="50"/>
      <c r="I1021" s="50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2.5" x14ac:dyDescent="0.25">
      <c r="A1022" s="1"/>
      <c r="B1022" s="1"/>
      <c r="C1022" s="1"/>
      <c r="D1022" s="1"/>
      <c r="E1022" s="1"/>
      <c r="F1022" s="1"/>
      <c r="G1022" s="50"/>
      <c r="H1022" s="50"/>
      <c r="I1022" s="50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2.5" x14ac:dyDescent="0.25">
      <c r="A1023" s="1"/>
      <c r="B1023" s="1"/>
      <c r="C1023" s="1"/>
      <c r="D1023" s="1"/>
      <c r="E1023" s="1"/>
      <c r="F1023" s="1"/>
      <c r="G1023" s="50"/>
      <c r="H1023" s="50"/>
      <c r="I1023" s="50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2.5" x14ac:dyDescent="0.25">
      <c r="A1024" s="1"/>
      <c r="B1024" s="1"/>
      <c r="C1024" s="1"/>
      <c r="D1024" s="1"/>
      <c r="E1024" s="1"/>
      <c r="F1024" s="1"/>
      <c r="G1024" s="50"/>
      <c r="H1024" s="50"/>
      <c r="I1024" s="50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2.5" x14ac:dyDescent="0.25">
      <c r="A1025" s="1"/>
      <c r="B1025" s="1"/>
      <c r="C1025" s="1"/>
      <c r="D1025" s="1"/>
      <c r="E1025" s="1"/>
      <c r="F1025" s="1"/>
      <c r="G1025" s="50"/>
      <c r="H1025" s="50"/>
      <c r="I1025" s="50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2.5" x14ac:dyDescent="0.25">
      <c r="A1026" s="1"/>
      <c r="B1026" s="1"/>
      <c r="C1026" s="1"/>
      <c r="D1026" s="1"/>
      <c r="E1026" s="1"/>
      <c r="F1026" s="1"/>
      <c r="G1026" s="50"/>
      <c r="H1026" s="50"/>
      <c r="I1026" s="50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2.5" x14ac:dyDescent="0.25">
      <c r="A1027" s="1"/>
      <c r="B1027" s="1"/>
      <c r="C1027" s="1"/>
      <c r="D1027" s="1"/>
      <c r="E1027" s="1"/>
      <c r="F1027" s="1"/>
      <c r="G1027" s="50"/>
      <c r="H1027" s="50"/>
      <c r="I1027" s="50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</sheetData>
  <mergeCells count="2">
    <mergeCell ref="B3:I3"/>
    <mergeCell ref="B51:H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843E-71B8-4A54-864D-EC8B3040748F}">
  <dimension ref="A1:Z979"/>
  <sheetViews>
    <sheetView tabSelected="1" workbookViewId="0">
      <selection activeCell="P22" sqref="P22"/>
    </sheetView>
  </sheetViews>
  <sheetFormatPr baseColWidth="10" defaultColWidth="12.6328125" defaultRowHeight="12.5" x14ac:dyDescent="0.25"/>
  <cols>
    <col min="1" max="1" width="18.453125" customWidth="1"/>
    <col min="2" max="2" width="6.54296875" customWidth="1"/>
    <col min="3" max="3" width="11.81640625" customWidth="1"/>
    <col min="4" max="4" width="8.54296875" customWidth="1"/>
    <col min="5" max="5" width="7.54296875" customWidth="1"/>
    <col min="6" max="6" width="10.90625" style="49" customWidth="1"/>
    <col min="7" max="7" width="7.54296875" style="49" customWidth="1"/>
    <col min="12" max="12" width="9.6328125" customWidth="1"/>
    <col min="17" max="17" width="2.36328125" customWidth="1"/>
    <col min="18" max="18" width="18" bestFit="1" customWidth="1"/>
  </cols>
  <sheetData>
    <row r="1" spans="1:26" ht="15.75" customHeight="1" x14ac:dyDescent="0.25">
      <c r="C1" s="68" t="s">
        <v>182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6" ht="15.75" customHeight="1" x14ac:dyDescent="0.25">
      <c r="C2" s="68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26" ht="15.75" customHeight="1" x14ac:dyDescent="0.25">
      <c r="F3"/>
      <c r="G3"/>
    </row>
    <row r="4" spans="1:26" ht="15.75" customHeight="1" thickBot="1" x14ac:dyDescent="0.3">
      <c r="F4"/>
      <c r="G4"/>
    </row>
    <row r="5" spans="1:26" ht="15.75" customHeight="1" thickBot="1" x14ac:dyDescent="0.3">
      <c r="A5" s="66" t="s">
        <v>199</v>
      </c>
      <c r="B5" s="67"/>
    </row>
    <row r="6" spans="1:26" ht="25.5" thickBot="1" x14ac:dyDescent="0.3">
      <c r="A6" s="91" t="s">
        <v>183</v>
      </c>
      <c r="B6" s="92">
        <v>3</v>
      </c>
    </row>
    <row r="7" spans="1:26" ht="25.5" thickBot="1" x14ac:dyDescent="0.3">
      <c r="A7" s="91" t="s">
        <v>184</v>
      </c>
      <c r="B7" s="92">
        <v>36</v>
      </c>
      <c r="D7" s="93">
        <v>0.4</v>
      </c>
      <c r="E7" s="94"/>
      <c r="F7" s="94"/>
      <c r="G7" s="94"/>
      <c r="H7" s="95"/>
      <c r="I7" s="93">
        <v>0.1</v>
      </c>
      <c r="J7" s="94"/>
      <c r="K7" s="94"/>
      <c r="L7" s="94"/>
      <c r="M7" s="94"/>
      <c r="N7" s="96">
        <v>0.5</v>
      </c>
      <c r="O7" s="97"/>
      <c r="P7" s="96">
        <v>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thickBot="1" x14ac:dyDescent="0.3">
      <c r="B8" s="1"/>
      <c r="D8" s="98" t="s">
        <v>185</v>
      </c>
      <c r="E8" s="99"/>
      <c r="F8" s="99"/>
      <c r="G8" s="99"/>
      <c r="H8" s="100"/>
      <c r="I8" s="101" t="s">
        <v>186</v>
      </c>
      <c r="J8" s="99"/>
      <c r="K8" s="99"/>
      <c r="L8" s="99"/>
      <c r="M8" s="100"/>
      <c r="N8" s="102" t="s">
        <v>187</v>
      </c>
      <c r="O8" s="103" t="s">
        <v>188</v>
      </c>
      <c r="P8" s="104" t="s">
        <v>189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thickBot="1" x14ac:dyDescent="0.3">
      <c r="B9" s="1"/>
      <c r="D9" s="105">
        <v>0.5</v>
      </c>
      <c r="E9" s="106">
        <v>0.3</v>
      </c>
      <c r="F9" s="107">
        <v>0.2</v>
      </c>
      <c r="G9" s="108"/>
      <c r="H9" s="108"/>
      <c r="I9" s="107">
        <v>0.5</v>
      </c>
      <c r="J9" s="107">
        <v>0.3</v>
      </c>
      <c r="K9" s="107">
        <v>0.2</v>
      </c>
      <c r="L9" s="108"/>
      <c r="M9" s="108"/>
      <c r="N9" s="108"/>
      <c r="O9" s="108"/>
      <c r="P9" s="10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thickBot="1" x14ac:dyDescent="0.3">
      <c r="B10" s="1"/>
      <c r="C10" s="109" t="s">
        <v>190</v>
      </c>
      <c r="D10" s="110" t="s">
        <v>191</v>
      </c>
      <c r="E10" s="111" t="s">
        <v>192</v>
      </c>
      <c r="F10" s="111" t="s">
        <v>193</v>
      </c>
      <c r="G10" s="111" t="s">
        <v>194</v>
      </c>
      <c r="H10" s="111" t="s">
        <v>195</v>
      </c>
      <c r="I10" s="111" t="s">
        <v>191</v>
      </c>
      <c r="J10" s="111" t="s">
        <v>192</v>
      </c>
      <c r="K10" s="111" t="s">
        <v>193</v>
      </c>
      <c r="L10" s="111" t="s">
        <v>194</v>
      </c>
      <c r="M10" s="111" t="s">
        <v>195</v>
      </c>
      <c r="N10" s="111" t="s">
        <v>191</v>
      </c>
      <c r="O10" s="111" t="s">
        <v>196</v>
      </c>
      <c r="P10" s="111" t="s">
        <v>195</v>
      </c>
      <c r="Q10" s="1"/>
      <c r="R10" s="112" t="s">
        <v>197</v>
      </c>
      <c r="S10" s="1"/>
      <c r="T10" s="1"/>
      <c r="U10" s="1"/>
      <c r="V10" s="1"/>
      <c r="W10" s="1"/>
      <c r="X10" s="1"/>
      <c r="Y10" s="1"/>
      <c r="Z10" s="1"/>
    </row>
    <row r="11" spans="1:26" ht="23.5" thickBot="1" x14ac:dyDescent="0.55000000000000004">
      <c r="B11" s="1"/>
      <c r="C11" s="113" t="str">
        <f>Portada!$K11</f>
        <v>Name</v>
      </c>
      <c r="D11" s="114"/>
      <c r="E11" s="115"/>
      <c r="F11" s="115"/>
      <c r="G11" s="116" t="str">
        <f>IFERROR(IF(OR(ABS(D11-F11)&gt;=$B$6,ABS(E11-F11)&gt;=$B$6),"Dif",""), "")</f>
        <v/>
      </c>
      <c r="H11" s="116">
        <f>IFERROR(IF(G11="Dif", D11, D11*D$9+E11*E$9+F11*F$9), "")</f>
        <v>0</v>
      </c>
      <c r="I11" s="115"/>
      <c r="J11" s="115"/>
      <c r="K11" s="115"/>
      <c r="L11" s="116" t="str">
        <f>IFERROR(IF(OR(ABS(I11-K11)&gt;=$B$6,ABS(J11-K11)&gt;=$B$6),"Dif",""), "")</f>
        <v/>
      </c>
      <c r="M11" s="116">
        <f>IFERROR(IF(L11="Dif", I11, I11*I$9+J11*J$9+K11*K$9), "")</f>
        <v>0</v>
      </c>
      <c r="N11" s="115"/>
      <c r="O11" s="117">
        <f t="shared" ref="O11:O14" si="0">$R11/36</f>
        <v>0</v>
      </c>
      <c r="P11" s="48">
        <f>IF((O11 &gt;= 0.2), MIN(4, $H11*$D$7+$M11*$I$7+$N11*$N$7), $H11*$D$7+$M11*$I$7+$N11*$N$7)</f>
        <v>0</v>
      </c>
      <c r="Q11" s="1"/>
      <c r="R11" s="118">
        <v>0</v>
      </c>
      <c r="S11" s="1"/>
      <c r="T11" s="1"/>
      <c r="U11" s="1"/>
      <c r="V11" s="1"/>
      <c r="W11" s="1"/>
      <c r="X11" s="1"/>
      <c r="Y11" s="1"/>
      <c r="Z11" s="1"/>
    </row>
    <row r="12" spans="1:26" ht="23.5" thickBot="1" x14ac:dyDescent="0.55000000000000004">
      <c r="B12" s="1"/>
      <c r="C12" s="113" t="str">
        <f>Portada!$K12</f>
        <v>Name</v>
      </c>
      <c r="D12" s="114"/>
      <c r="E12" s="115"/>
      <c r="F12" s="115"/>
      <c r="G12" s="116" t="str">
        <f t="shared" ref="G12:G15" si="1">IFERROR(IF(OR(ABS(D12-F12)&gt;=$B$6,ABS(E12-F12)&gt;=$B$6),"Dif",""), "")</f>
        <v/>
      </c>
      <c r="H12" s="116">
        <f t="shared" ref="H12:H15" si="2">IFERROR(IF(G12="Dif", D12, D12*D$9+E12*E$9+F12*F$9), "")</f>
        <v>0</v>
      </c>
      <c r="I12" s="115"/>
      <c r="J12" s="115"/>
      <c r="K12" s="115"/>
      <c r="L12" s="116" t="str">
        <f t="shared" ref="L12:L15" si="3">IFERROR(IF(OR(ABS(I12-K12)&gt;=$B$6,ABS(J12-K12)&gt;=$B$6),"Dif",""), "")</f>
        <v/>
      </c>
      <c r="M12" s="116">
        <f t="shared" ref="M12:M15" si="4">IFERROR(IF(L12="Dif", I12, I12*I$9+J12*J$9+K12*K$9), "")</f>
        <v>0</v>
      </c>
      <c r="N12" s="115"/>
      <c r="O12" s="117">
        <f t="shared" si="0"/>
        <v>0</v>
      </c>
      <c r="P12" s="48">
        <f t="shared" ref="P12:P15" si="5">IF((O12 &gt;= 0.2), MIN(4, $H12*$D$7+$M12*$I$7+$N12*$N$7), $H12*$D$7+$M12*$I$7+$N12*$N$7)</f>
        <v>0</v>
      </c>
      <c r="Q12" s="1"/>
      <c r="R12" s="118">
        <v>0</v>
      </c>
      <c r="S12" s="1"/>
      <c r="T12" s="1"/>
      <c r="U12" s="1"/>
      <c r="V12" s="1"/>
      <c r="W12" s="1"/>
      <c r="X12" s="1"/>
      <c r="Y12" s="1"/>
      <c r="Z12" s="1"/>
    </row>
    <row r="13" spans="1:26" ht="23.5" thickBot="1" x14ac:dyDescent="0.55000000000000004">
      <c r="B13" s="1"/>
      <c r="C13" s="113" t="str">
        <f>Portada!$K13</f>
        <v>-</v>
      </c>
      <c r="D13" s="114"/>
      <c r="E13" s="115"/>
      <c r="F13" s="115"/>
      <c r="G13" s="116" t="str">
        <f t="shared" si="1"/>
        <v/>
      </c>
      <c r="H13" s="116">
        <f t="shared" si="2"/>
        <v>0</v>
      </c>
      <c r="I13" s="115"/>
      <c r="J13" s="115"/>
      <c r="K13" s="115"/>
      <c r="L13" s="116" t="str">
        <f t="shared" si="3"/>
        <v/>
      </c>
      <c r="M13" s="116">
        <f t="shared" si="4"/>
        <v>0</v>
      </c>
      <c r="N13" s="115"/>
      <c r="O13" s="117">
        <f t="shared" si="0"/>
        <v>0</v>
      </c>
      <c r="P13" s="48">
        <f t="shared" si="5"/>
        <v>0</v>
      </c>
      <c r="Q13" s="1"/>
      <c r="R13" s="118">
        <v>0</v>
      </c>
      <c r="S13" s="1"/>
      <c r="T13" s="1"/>
      <c r="U13" s="1"/>
      <c r="V13" s="1"/>
      <c r="W13" s="1"/>
      <c r="X13" s="1"/>
      <c r="Y13" s="1"/>
      <c r="Z13" s="1"/>
    </row>
    <row r="14" spans="1:26" ht="23.5" thickBot="1" x14ac:dyDescent="0.55000000000000004">
      <c r="B14" s="1"/>
      <c r="C14" s="113" t="str">
        <f>Portada!$K14</f>
        <v>-</v>
      </c>
      <c r="D14" s="114"/>
      <c r="E14" s="115"/>
      <c r="F14" s="115"/>
      <c r="G14" s="116" t="str">
        <f t="shared" si="1"/>
        <v/>
      </c>
      <c r="H14" s="116">
        <f t="shared" si="2"/>
        <v>0</v>
      </c>
      <c r="I14" s="115"/>
      <c r="J14" s="115"/>
      <c r="K14" s="115"/>
      <c r="L14" s="116" t="str">
        <f t="shared" si="3"/>
        <v/>
      </c>
      <c r="M14" s="116">
        <f t="shared" si="4"/>
        <v>0</v>
      </c>
      <c r="N14" s="115"/>
      <c r="O14" s="117">
        <f t="shared" si="0"/>
        <v>0</v>
      </c>
      <c r="P14" s="48">
        <f t="shared" si="5"/>
        <v>0</v>
      </c>
      <c r="Q14" s="1"/>
      <c r="R14" s="118">
        <v>0</v>
      </c>
      <c r="S14" s="1"/>
      <c r="T14" s="1"/>
      <c r="U14" s="1"/>
      <c r="V14" s="1"/>
      <c r="W14" s="1"/>
      <c r="X14" s="1"/>
      <c r="Y14" s="1"/>
      <c r="Z14" s="1"/>
    </row>
    <row r="15" spans="1:26" s="1" customFormat="1" ht="23.5" thickBot="1" x14ac:dyDescent="0.55000000000000004">
      <c r="C15" s="43" t="s">
        <v>198</v>
      </c>
      <c r="D15" s="114">
        <v>10</v>
      </c>
      <c r="E15" s="115">
        <v>10</v>
      </c>
      <c r="F15" s="115">
        <v>10</v>
      </c>
      <c r="G15" s="116" t="str">
        <f t="shared" si="1"/>
        <v/>
      </c>
      <c r="H15" s="116">
        <f t="shared" si="2"/>
        <v>10</v>
      </c>
      <c r="I15" s="115">
        <v>10</v>
      </c>
      <c r="J15" s="115">
        <v>10</v>
      </c>
      <c r="K15" s="115">
        <v>10</v>
      </c>
      <c r="L15" s="116" t="str">
        <f t="shared" si="3"/>
        <v/>
      </c>
      <c r="M15" s="116">
        <f t="shared" si="4"/>
        <v>10</v>
      </c>
      <c r="N15" s="115">
        <v>10</v>
      </c>
      <c r="O15" s="117">
        <f>$R15/36</f>
        <v>0</v>
      </c>
      <c r="P15" s="48">
        <f t="shared" si="5"/>
        <v>10</v>
      </c>
    </row>
    <row r="16" spans="1:26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pans="2:26" s="1" customFormat="1" x14ac:dyDescent="0.25"/>
    <row r="642" spans="2:26" s="1" customFormat="1" x14ac:dyDescent="0.25"/>
    <row r="643" spans="2:26" s="1" customFormat="1" x14ac:dyDescent="0.25"/>
    <row r="644" spans="2:26" s="1" customFormat="1" x14ac:dyDescent="0.25"/>
    <row r="645" spans="2:26" s="1" customFormat="1" x14ac:dyDescent="0.25"/>
    <row r="646" spans="2:26" s="1" customFormat="1" x14ac:dyDescent="0.25"/>
    <row r="647" spans="2:26" s="1" customFormat="1" ht="13" thickBot="1" x14ac:dyDescent="0.3"/>
    <row r="648" spans="2:26" ht="13" thickBot="1" x14ac:dyDescent="0.3"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ht="13" thickBot="1" x14ac:dyDescent="0.3"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ht="13" thickBot="1" x14ac:dyDescent="0.3"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ht="13" thickBot="1" x14ac:dyDescent="0.3"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ht="13" thickBot="1" x14ac:dyDescent="0.3"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ht="13" thickBot="1" x14ac:dyDescent="0.3"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ht="13" thickBot="1" x14ac:dyDescent="0.3"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ht="13" thickBot="1" x14ac:dyDescent="0.3"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ht="13" thickBot="1" x14ac:dyDescent="0.3"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ht="13" thickBot="1" x14ac:dyDescent="0.3"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ht="13" thickBot="1" x14ac:dyDescent="0.3"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ht="13" thickBot="1" x14ac:dyDescent="0.3"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ht="13" thickBot="1" x14ac:dyDescent="0.3"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ht="13" thickBot="1" x14ac:dyDescent="0.3"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ht="13" thickBot="1" x14ac:dyDescent="0.3"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ht="13" thickBot="1" x14ac:dyDescent="0.3"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ht="13" thickBot="1" x14ac:dyDescent="0.3"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ht="13" thickBot="1" x14ac:dyDescent="0.3"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ht="13" thickBot="1" x14ac:dyDescent="0.3"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ht="13" thickBot="1" x14ac:dyDescent="0.3"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ht="13" thickBot="1" x14ac:dyDescent="0.3"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ht="13" thickBot="1" x14ac:dyDescent="0.3"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ht="13" thickBot="1" x14ac:dyDescent="0.3"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ht="13" thickBot="1" x14ac:dyDescent="0.3"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ht="13" thickBot="1" x14ac:dyDescent="0.3"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ht="13" thickBot="1" x14ac:dyDescent="0.3"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ht="13" thickBot="1" x14ac:dyDescent="0.3"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ht="13" thickBot="1" x14ac:dyDescent="0.3"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ht="13" thickBot="1" x14ac:dyDescent="0.3"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ht="13" thickBot="1" x14ac:dyDescent="0.3"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ht="13" thickBot="1" x14ac:dyDescent="0.3"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ht="13" thickBot="1" x14ac:dyDescent="0.3"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ht="13" thickBot="1" x14ac:dyDescent="0.3"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ht="13" thickBot="1" x14ac:dyDescent="0.3"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ht="13" thickBot="1" x14ac:dyDescent="0.3"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ht="13" thickBot="1" x14ac:dyDescent="0.3"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ht="13" thickBot="1" x14ac:dyDescent="0.3"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ht="13" thickBot="1" x14ac:dyDescent="0.3"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ht="13" thickBot="1" x14ac:dyDescent="0.3"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ht="13" thickBot="1" x14ac:dyDescent="0.3"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ht="13" thickBot="1" x14ac:dyDescent="0.3"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ht="13" thickBot="1" x14ac:dyDescent="0.3"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ht="13" thickBot="1" x14ac:dyDescent="0.3"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ht="13" thickBot="1" x14ac:dyDescent="0.3"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ht="13" thickBot="1" x14ac:dyDescent="0.3"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ht="13" thickBot="1" x14ac:dyDescent="0.3"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ht="13" thickBot="1" x14ac:dyDescent="0.3"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ht="13" thickBot="1" x14ac:dyDescent="0.3"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ht="13" thickBot="1" x14ac:dyDescent="0.3"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ht="13" thickBot="1" x14ac:dyDescent="0.3"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ht="13" thickBot="1" x14ac:dyDescent="0.3"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ht="13" thickBot="1" x14ac:dyDescent="0.3"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ht="13" thickBot="1" x14ac:dyDescent="0.3"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ht="13" thickBot="1" x14ac:dyDescent="0.3"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ht="13" thickBot="1" x14ac:dyDescent="0.3"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ht="13" thickBot="1" x14ac:dyDescent="0.3"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ht="13" thickBot="1" x14ac:dyDescent="0.3"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ht="13" thickBot="1" x14ac:dyDescent="0.3"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ht="13" thickBot="1" x14ac:dyDescent="0.3"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ht="13" thickBot="1" x14ac:dyDescent="0.3"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ht="13" thickBot="1" x14ac:dyDescent="0.3"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ht="13" thickBot="1" x14ac:dyDescent="0.3"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ht="13" thickBot="1" x14ac:dyDescent="0.3"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ht="13" thickBot="1" x14ac:dyDescent="0.3"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ht="13" thickBot="1" x14ac:dyDescent="0.3"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ht="13" thickBot="1" x14ac:dyDescent="0.3"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ht="13" thickBot="1" x14ac:dyDescent="0.3"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ht="13" thickBot="1" x14ac:dyDescent="0.3"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ht="13" thickBot="1" x14ac:dyDescent="0.3"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ht="13" thickBot="1" x14ac:dyDescent="0.3"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ht="13" thickBot="1" x14ac:dyDescent="0.3"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ht="13" thickBot="1" x14ac:dyDescent="0.3"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ht="13" thickBot="1" x14ac:dyDescent="0.3"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ht="13" thickBot="1" x14ac:dyDescent="0.3"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ht="13" thickBot="1" x14ac:dyDescent="0.3"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ht="13" thickBot="1" x14ac:dyDescent="0.3"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ht="13" thickBot="1" x14ac:dyDescent="0.3"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ht="13" thickBot="1" x14ac:dyDescent="0.3"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ht="13" thickBot="1" x14ac:dyDescent="0.3"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ht="13" thickBot="1" x14ac:dyDescent="0.3"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ht="13" thickBot="1" x14ac:dyDescent="0.3"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ht="13" thickBot="1" x14ac:dyDescent="0.3"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ht="13" thickBot="1" x14ac:dyDescent="0.3"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ht="13" thickBot="1" x14ac:dyDescent="0.3"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ht="13" thickBot="1" x14ac:dyDescent="0.3"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ht="13" thickBot="1" x14ac:dyDescent="0.3"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ht="13" thickBot="1" x14ac:dyDescent="0.3"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ht="13" thickBot="1" x14ac:dyDescent="0.3"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ht="13" thickBot="1" x14ac:dyDescent="0.3"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ht="13" thickBot="1" x14ac:dyDescent="0.3"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ht="13" thickBot="1" x14ac:dyDescent="0.3"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ht="13" thickBot="1" x14ac:dyDescent="0.3"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ht="13" thickBot="1" x14ac:dyDescent="0.3"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ht="13" thickBot="1" x14ac:dyDescent="0.3"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ht="13" thickBot="1" x14ac:dyDescent="0.3"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ht="13" thickBot="1" x14ac:dyDescent="0.3"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ht="13" thickBot="1" x14ac:dyDescent="0.3"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ht="13" thickBot="1" x14ac:dyDescent="0.3"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ht="13" thickBot="1" x14ac:dyDescent="0.3"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ht="13" thickBot="1" x14ac:dyDescent="0.3"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ht="13" thickBot="1" x14ac:dyDescent="0.3"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ht="13" thickBot="1" x14ac:dyDescent="0.3"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ht="13" thickBot="1" x14ac:dyDescent="0.3"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ht="13" thickBot="1" x14ac:dyDescent="0.3"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ht="13" thickBot="1" x14ac:dyDescent="0.3"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ht="13" thickBot="1" x14ac:dyDescent="0.3"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ht="13" thickBot="1" x14ac:dyDescent="0.3"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ht="13" thickBot="1" x14ac:dyDescent="0.3"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ht="13" thickBot="1" x14ac:dyDescent="0.3"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ht="13" thickBot="1" x14ac:dyDescent="0.3"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ht="13" thickBot="1" x14ac:dyDescent="0.3"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ht="13" thickBot="1" x14ac:dyDescent="0.3"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ht="13" thickBot="1" x14ac:dyDescent="0.3"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ht="13" thickBot="1" x14ac:dyDescent="0.3"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ht="13" thickBot="1" x14ac:dyDescent="0.3"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ht="13" thickBot="1" x14ac:dyDescent="0.3"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ht="13" thickBot="1" x14ac:dyDescent="0.3"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ht="13" thickBot="1" x14ac:dyDescent="0.3"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ht="13" thickBot="1" x14ac:dyDescent="0.3"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ht="13" thickBot="1" x14ac:dyDescent="0.3"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ht="13" thickBot="1" x14ac:dyDescent="0.3"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ht="13" thickBot="1" x14ac:dyDescent="0.3"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ht="13" thickBot="1" x14ac:dyDescent="0.3"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ht="13" thickBot="1" x14ac:dyDescent="0.3"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ht="13" thickBot="1" x14ac:dyDescent="0.3"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ht="13" thickBot="1" x14ac:dyDescent="0.3"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ht="13" thickBot="1" x14ac:dyDescent="0.3"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ht="13" thickBot="1" x14ac:dyDescent="0.3"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ht="13" thickBot="1" x14ac:dyDescent="0.3"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ht="13" thickBot="1" x14ac:dyDescent="0.3"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ht="13" thickBot="1" x14ac:dyDescent="0.3"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ht="13" thickBot="1" x14ac:dyDescent="0.3"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ht="13" thickBot="1" x14ac:dyDescent="0.3"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ht="13" thickBot="1" x14ac:dyDescent="0.3"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ht="13" thickBot="1" x14ac:dyDescent="0.3"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ht="13" thickBot="1" x14ac:dyDescent="0.3"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ht="13" thickBot="1" x14ac:dyDescent="0.3"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ht="13" thickBot="1" x14ac:dyDescent="0.3"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ht="13" thickBot="1" x14ac:dyDescent="0.3"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ht="13" thickBot="1" x14ac:dyDescent="0.3"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ht="13" thickBot="1" x14ac:dyDescent="0.3"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ht="13" thickBot="1" x14ac:dyDescent="0.3"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ht="13" thickBot="1" x14ac:dyDescent="0.3"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ht="13" thickBot="1" x14ac:dyDescent="0.3"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ht="13" thickBot="1" x14ac:dyDescent="0.3"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ht="13" thickBot="1" x14ac:dyDescent="0.3"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ht="13" thickBot="1" x14ac:dyDescent="0.3"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ht="13" thickBot="1" x14ac:dyDescent="0.3"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ht="13" thickBot="1" x14ac:dyDescent="0.3"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ht="13" thickBot="1" x14ac:dyDescent="0.3"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ht="13" thickBot="1" x14ac:dyDescent="0.3"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ht="13" thickBot="1" x14ac:dyDescent="0.3"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ht="13" thickBot="1" x14ac:dyDescent="0.3"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ht="13" thickBot="1" x14ac:dyDescent="0.3"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ht="13" thickBot="1" x14ac:dyDescent="0.3"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ht="13" thickBot="1" x14ac:dyDescent="0.3"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ht="13" thickBot="1" x14ac:dyDescent="0.3"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ht="13" thickBot="1" x14ac:dyDescent="0.3"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ht="13" thickBot="1" x14ac:dyDescent="0.3"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ht="13" thickBot="1" x14ac:dyDescent="0.3"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ht="13" thickBot="1" x14ac:dyDescent="0.3"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ht="13" thickBot="1" x14ac:dyDescent="0.3"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ht="13" thickBot="1" x14ac:dyDescent="0.3"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ht="13" thickBot="1" x14ac:dyDescent="0.3"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ht="13" thickBot="1" x14ac:dyDescent="0.3"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ht="13" thickBot="1" x14ac:dyDescent="0.3"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ht="13" thickBot="1" x14ac:dyDescent="0.3"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ht="13" thickBot="1" x14ac:dyDescent="0.3"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ht="13" thickBot="1" x14ac:dyDescent="0.3"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ht="13" thickBot="1" x14ac:dyDescent="0.3"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ht="13" thickBot="1" x14ac:dyDescent="0.3"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ht="13" thickBot="1" x14ac:dyDescent="0.3"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ht="13" thickBot="1" x14ac:dyDescent="0.3"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ht="13" thickBot="1" x14ac:dyDescent="0.3"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ht="13" thickBot="1" x14ac:dyDescent="0.3"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ht="13" thickBot="1" x14ac:dyDescent="0.3"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ht="13" thickBot="1" x14ac:dyDescent="0.3"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ht="13" thickBot="1" x14ac:dyDescent="0.3"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ht="13" thickBot="1" x14ac:dyDescent="0.3"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ht="13" thickBot="1" x14ac:dyDescent="0.3"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ht="13" thickBot="1" x14ac:dyDescent="0.3"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ht="13" thickBot="1" x14ac:dyDescent="0.3"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ht="13" thickBot="1" x14ac:dyDescent="0.3"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ht="13" thickBot="1" x14ac:dyDescent="0.3"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ht="13" thickBot="1" x14ac:dyDescent="0.3"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ht="13" thickBot="1" x14ac:dyDescent="0.3"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ht="13" thickBot="1" x14ac:dyDescent="0.3"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ht="13" thickBot="1" x14ac:dyDescent="0.3"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ht="13" thickBot="1" x14ac:dyDescent="0.3"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ht="13" thickBot="1" x14ac:dyDescent="0.3"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ht="13" thickBot="1" x14ac:dyDescent="0.3"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ht="13" thickBot="1" x14ac:dyDescent="0.3"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ht="13" thickBot="1" x14ac:dyDescent="0.3"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ht="13" thickBot="1" x14ac:dyDescent="0.3"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ht="13" thickBot="1" x14ac:dyDescent="0.3"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ht="13" thickBot="1" x14ac:dyDescent="0.3"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ht="13" thickBot="1" x14ac:dyDescent="0.3"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ht="13" thickBot="1" x14ac:dyDescent="0.3"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ht="13" thickBot="1" x14ac:dyDescent="0.3"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ht="13" thickBot="1" x14ac:dyDescent="0.3"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ht="13" thickBot="1" x14ac:dyDescent="0.3"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ht="13" thickBot="1" x14ac:dyDescent="0.3"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ht="13" thickBot="1" x14ac:dyDescent="0.3"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ht="13" thickBot="1" x14ac:dyDescent="0.3"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ht="13" thickBot="1" x14ac:dyDescent="0.3"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ht="13" thickBot="1" x14ac:dyDescent="0.3"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ht="13" thickBot="1" x14ac:dyDescent="0.3"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ht="13" thickBot="1" x14ac:dyDescent="0.3"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ht="13" thickBot="1" x14ac:dyDescent="0.3"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ht="13" thickBot="1" x14ac:dyDescent="0.3"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ht="13" thickBot="1" x14ac:dyDescent="0.3"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ht="13" thickBot="1" x14ac:dyDescent="0.3"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ht="13" thickBot="1" x14ac:dyDescent="0.3"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ht="13" thickBot="1" x14ac:dyDescent="0.3"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ht="13" thickBot="1" x14ac:dyDescent="0.3"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ht="13" thickBot="1" x14ac:dyDescent="0.3"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ht="13" thickBot="1" x14ac:dyDescent="0.3"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ht="13" thickBot="1" x14ac:dyDescent="0.3"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ht="13" thickBot="1" x14ac:dyDescent="0.3"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ht="13" thickBot="1" x14ac:dyDescent="0.3"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ht="13" thickBot="1" x14ac:dyDescent="0.3"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ht="13" thickBot="1" x14ac:dyDescent="0.3"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ht="13" thickBot="1" x14ac:dyDescent="0.3"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ht="13" thickBot="1" x14ac:dyDescent="0.3"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ht="13" thickBot="1" x14ac:dyDescent="0.3"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ht="13" thickBot="1" x14ac:dyDescent="0.3"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ht="13" thickBot="1" x14ac:dyDescent="0.3"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ht="13" thickBot="1" x14ac:dyDescent="0.3"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ht="13" thickBot="1" x14ac:dyDescent="0.3"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ht="13" thickBot="1" x14ac:dyDescent="0.3"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ht="13" thickBot="1" x14ac:dyDescent="0.3"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ht="13" thickBot="1" x14ac:dyDescent="0.3"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ht="13" thickBot="1" x14ac:dyDescent="0.3"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ht="13" thickBot="1" x14ac:dyDescent="0.3"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ht="13" thickBot="1" x14ac:dyDescent="0.3"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ht="13" thickBot="1" x14ac:dyDescent="0.3"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ht="13" thickBot="1" x14ac:dyDescent="0.3"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ht="13" thickBot="1" x14ac:dyDescent="0.3"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ht="13" thickBot="1" x14ac:dyDescent="0.3"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ht="13" thickBot="1" x14ac:dyDescent="0.3"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ht="13" thickBot="1" x14ac:dyDescent="0.3"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ht="13" thickBot="1" x14ac:dyDescent="0.3"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ht="13" thickBot="1" x14ac:dyDescent="0.3"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ht="13" thickBot="1" x14ac:dyDescent="0.3"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ht="13" thickBot="1" x14ac:dyDescent="0.3"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ht="13" thickBot="1" x14ac:dyDescent="0.3"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ht="13" thickBot="1" x14ac:dyDescent="0.3"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ht="13" thickBot="1" x14ac:dyDescent="0.3"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ht="13" thickBot="1" x14ac:dyDescent="0.3"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ht="13" thickBot="1" x14ac:dyDescent="0.3"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ht="13" thickBot="1" x14ac:dyDescent="0.3"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ht="13" thickBot="1" x14ac:dyDescent="0.3"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ht="13" thickBot="1" x14ac:dyDescent="0.3"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ht="13" thickBot="1" x14ac:dyDescent="0.3"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ht="13" thickBot="1" x14ac:dyDescent="0.3"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ht="13" thickBot="1" x14ac:dyDescent="0.3"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ht="13" thickBot="1" x14ac:dyDescent="0.3"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ht="13" thickBot="1" x14ac:dyDescent="0.3"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ht="13" thickBot="1" x14ac:dyDescent="0.3"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ht="13" thickBot="1" x14ac:dyDescent="0.3"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ht="13" thickBot="1" x14ac:dyDescent="0.3"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ht="13" thickBot="1" x14ac:dyDescent="0.3"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ht="13" thickBot="1" x14ac:dyDescent="0.3"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ht="13" thickBot="1" x14ac:dyDescent="0.3"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ht="13" thickBot="1" x14ac:dyDescent="0.3"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ht="13" thickBot="1" x14ac:dyDescent="0.3"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ht="13" thickBot="1" x14ac:dyDescent="0.3"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ht="13" thickBot="1" x14ac:dyDescent="0.3"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ht="13" thickBot="1" x14ac:dyDescent="0.3"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ht="13" thickBot="1" x14ac:dyDescent="0.3"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ht="13" thickBot="1" x14ac:dyDescent="0.3"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ht="13" thickBot="1" x14ac:dyDescent="0.3"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ht="13" thickBot="1" x14ac:dyDescent="0.3"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ht="13" thickBot="1" x14ac:dyDescent="0.3"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ht="13" thickBot="1" x14ac:dyDescent="0.3"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ht="13" thickBot="1" x14ac:dyDescent="0.3"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ht="13" thickBot="1" x14ac:dyDescent="0.3"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ht="13" thickBot="1" x14ac:dyDescent="0.3"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ht="13" thickBot="1" x14ac:dyDescent="0.3"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ht="13" thickBot="1" x14ac:dyDescent="0.3"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ht="13" thickBot="1" x14ac:dyDescent="0.3"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ht="13" thickBot="1" x14ac:dyDescent="0.3"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ht="13" thickBot="1" x14ac:dyDescent="0.3"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ht="13" thickBot="1" x14ac:dyDescent="0.3"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ht="13" thickBot="1" x14ac:dyDescent="0.3"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ht="13" thickBot="1" x14ac:dyDescent="0.3"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ht="13" thickBot="1" x14ac:dyDescent="0.3"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ht="13" thickBot="1" x14ac:dyDescent="0.3"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ht="13" thickBot="1" x14ac:dyDescent="0.3"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ht="13" thickBot="1" x14ac:dyDescent="0.3"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ht="13" thickBot="1" x14ac:dyDescent="0.3"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ht="13" thickBot="1" x14ac:dyDescent="0.3"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ht="13" thickBot="1" x14ac:dyDescent="0.3"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ht="13" thickBot="1" x14ac:dyDescent="0.3"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ht="13" thickBot="1" x14ac:dyDescent="0.3"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ht="13" thickBot="1" x14ac:dyDescent="0.3"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ht="13" thickBot="1" x14ac:dyDescent="0.3"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ht="13" thickBot="1" x14ac:dyDescent="0.3"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ht="13" thickBot="1" x14ac:dyDescent="0.3"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ht="13" thickBot="1" x14ac:dyDescent="0.3"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ht="13" thickBot="1" x14ac:dyDescent="0.3"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ht="13" thickBot="1" x14ac:dyDescent="0.3"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ht="13" thickBot="1" x14ac:dyDescent="0.3"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ht="13" thickBot="1" x14ac:dyDescent="0.3"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ht="13" thickBot="1" x14ac:dyDescent="0.3"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ht="13" thickBot="1" x14ac:dyDescent="0.3"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ht="13" thickBot="1" x14ac:dyDescent="0.3"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ht="13" thickBot="1" x14ac:dyDescent="0.3"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ht="13" thickBot="1" x14ac:dyDescent="0.3"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ht="13" thickBot="1" x14ac:dyDescent="0.3"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ht="13" thickBot="1" x14ac:dyDescent="0.3"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ht="13" thickBot="1" x14ac:dyDescent="0.3"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ht="13" thickBot="1" x14ac:dyDescent="0.3"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ht="13" thickBot="1" x14ac:dyDescent="0.3"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ht="13" thickBot="1" x14ac:dyDescent="0.3"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ht="13" thickBot="1" x14ac:dyDescent="0.3"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ht="13" thickBot="1" x14ac:dyDescent="0.3"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ht="13" thickBot="1" x14ac:dyDescent="0.3"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ht="13" thickBot="1" x14ac:dyDescent="0.3"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ht="13" thickBot="1" x14ac:dyDescent="0.3"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ht="13" thickBot="1" x14ac:dyDescent="0.3"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ht="13" thickBot="1" x14ac:dyDescent="0.3"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ht="13" thickBot="1" x14ac:dyDescent="0.3"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ht="13" thickBot="1" x14ac:dyDescent="0.3"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ht="13" thickBot="1" x14ac:dyDescent="0.3"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ht="13" thickBot="1" x14ac:dyDescent="0.3"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ht="13" thickBot="1" x14ac:dyDescent="0.3"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ht="13" thickBot="1" x14ac:dyDescent="0.3"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25">
      <c r="B976" s="1"/>
      <c r="C976" s="1"/>
      <c r="D976" s="1"/>
      <c r="E976" s="1"/>
      <c r="F976" s="50"/>
      <c r="G976" s="5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25">
      <c r="B977" s="1"/>
      <c r="C977" s="1"/>
      <c r="D977" s="1"/>
      <c r="E977" s="1"/>
      <c r="F977" s="50"/>
      <c r="G977" s="5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25">
      <c r="B978" s="1"/>
      <c r="C978" s="1"/>
      <c r="D978" s="1"/>
      <c r="E978" s="1"/>
      <c r="F978" s="50"/>
      <c r="G978" s="5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25">
      <c r="B979" s="1"/>
      <c r="C979" s="1"/>
      <c r="D979" s="1"/>
      <c r="E979" s="1"/>
      <c r="F979" s="50"/>
      <c r="G979" s="5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</sheetData>
  <mergeCells count="6">
    <mergeCell ref="A5:B5"/>
    <mergeCell ref="C1:O2"/>
    <mergeCell ref="D7:H7"/>
    <mergeCell ref="I7:M7"/>
    <mergeCell ref="D8:H8"/>
    <mergeCell ref="I8:M8"/>
  </mergeCells>
  <conditionalFormatting sqref="O11:O15">
    <cfRule type="cellIs" dxfId="7" priority="3" operator="greaterThanOrEqual">
      <formula>0.2</formula>
    </cfRule>
  </conditionalFormatting>
  <conditionalFormatting sqref="O11:O15">
    <cfRule type="cellIs" dxfId="6" priority="2" operator="lessThan">
      <formula>0.2</formula>
    </cfRule>
  </conditionalFormatting>
  <conditionalFormatting sqref="P11:P15">
    <cfRule type="cellIs" dxfId="0" priority="1" operator="lessThan">
      <formula>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775B-D890-4553-888B-EE2386B83D4C}">
  <dimension ref="A1:Z1001"/>
  <sheetViews>
    <sheetView workbookViewId="0">
      <selection activeCell="D20" sqref="D20"/>
    </sheetView>
  </sheetViews>
  <sheetFormatPr baseColWidth="10" defaultColWidth="12.6328125" defaultRowHeight="12.5" x14ac:dyDescent="0.25"/>
  <cols>
    <col min="1" max="1" width="10.7265625" customWidth="1"/>
    <col min="2" max="2" width="10" customWidth="1"/>
    <col min="3" max="3" width="37.90625" customWidth="1"/>
    <col min="4" max="4" width="12.90625" customWidth="1"/>
    <col min="5" max="5" width="10.08984375" customWidth="1"/>
    <col min="6" max="6" width="20.08984375" customWidth="1"/>
    <col min="7" max="7" width="10.7265625" customWidth="1"/>
    <col min="8" max="8" width="8.1796875" bestFit="1" customWidth="1"/>
    <col min="9" max="9" width="18.26953125" customWidth="1"/>
    <col min="10" max="12" width="10.7265625" customWidth="1"/>
    <col min="13" max="13" width="8.1796875" bestFit="1" customWidth="1"/>
  </cols>
  <sheetData>
    <row r="1" spans="1:26" ht="39.75" customHeight="1" x14ac:dyDescent="0.25">
      <c r="B1" s="68" t="s">
        <v>171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26" ht="13.5" customHeight="1" x14ac:dyDescent="0.35">
      <c r="D2" s="38"/>
      <c r="E2" s="38"/>
      <c r="F2" s="39"/>
      <c r="G2" s="39"/>
      <c r="H2" s="40"/>
      <c r="I2" s="38"/>
      <c r="J2" s="38"/>
    </row>
    <row r="3" spans="1:26" ht="12" customHeight="1" thickBot="1" x14ac:dyDescent="0.4">
      <c r="D3" s="38"/>
      <c r="E3" s="38"/>
      <c r="F3" s="39"/>
      <c r="G3" s="39"/>
      <c r="H3" s="39"/>
      <c r="I3" s="38"/>
      <c r="J3" s="38"/>
    </row>
    <row r="4" spans="1:26" ht="12" customHeight="1" thickBot="1" x14ac:dyDescent="0.45">
      <c r="B4" s="41" t="s">
        <v>163</v>
      </c>
      <c r="C4" s="42"/>
      <c r="D4" s="39"/>
      <c r="E4" s="38"/>
      <c r="F4" s="39"/>
      <c r="G4" s="39"/>
      <c r="H4" s="39"/>
      <c r="I4" s="38"/>
      <c r="J4" s="38"/>
    </row>
    <row r="5" spans="1:26" ht="19.5" customHeight="1" thickBot="1" x14ac:dyDescent="0.4">
      <c r="D5" s="38"/>
      <c r="E5" s="38"/>
      <c r="F5" s="43" t="str">
        <f>Portada!$K11</f>
        <v>Name</v>
      </c>
      <c r="G5" s="39"/>
      <c r="H5" s="39"/>
      <c r="I5" s="38"/>
      <c r="J5" s="38"/>
      <c r="K5" s="43" t="str">
        <f>Portada!$K12</f>
        <v>Name</v>
      </c>
    </row>
    <row r="6" spans="1:26" ht="27" customHeight="1" thickBot="1" x14ac:dyDescent="0.35">
      <c r="B6" s="66" t="s">
        <v>164</v>
      </c>
      <c r="C6" s="67"/>
      <c r="D6" s="39"/>
      <c r="E6" s="39"/>
      <c r="F6" s="43" t="s">
        <v>166</v>
      </c>
      <c r="G6" s="43" t="s">
        <v>169</v>
      </c>
      <c r="H6" s="43" t="s">
        <v>175</v>
      </c>
      <c r="I6" s="43" t="s">
        <v>167</v>
      </c>
      <c r="J6" s="44"/>
      <c r="K6" s="43" t="s">
        <v>166</v>
      </c>
      <c r="L6" s="43" t="s">
        <v>169</v>
      </c>
      <c r="M6" s="43" t="s">
        <v>175</v>
      </c>
      <c r="N6" s="43" t="s">
        <v>167</v>
      </c>
    </row>
    <row r="7" spans="1:26" ht="23.5" thickBot="1" x14ac:dyDescent="0.55000000000000004">
      <c r="B7" s="45">
        <f>Portada!$J11</f>
        <v>1</v>
      </c>
      <c r="C7" s="45" t="str">
        <f>Portada!$K11</f>
        <v>Name</v>
      </c>
      <c r="D7" s="39"/>
      <c r="E7" s="39"/>
      <c r="F7" s="46" t="s">
        <v>168</v>
      </c>
      <c r="G7" s="47">
        <f>DIW!$I$9 + DIW!$I$26</f>
        <v>0</v>
      </c>
      <c r="H7" s="47">
        <v>0</v>
      </c>
      <c r="I7" s="48">
        <f>IFERROR(ROUND(G7*(H7), 2),0)</f>
        <v>0</v>
      </c>
      <c r="J7" s="44"/>
      <c r="K7" s="46" t="s">
        <v>168</v>
      </c>
      <c r="L7" s="47">
        <f>DIW!$I$9 + DIW!$I$26</f>
        <v>0</v>
      </c>
      <c r="M7" s="47">
        <v>0</v>
      </c>
      <c r="N7" s="48">
        <f>IFERROR(ROUND(L7*(M7), 2),0)</f>
        <v>0</v>
      </c>
    </row>
    <row r="8" spans="1:26" ht="23.5" thickBot="1" x14ac:dyDescent="0.55000000000000004">
      <c r="A8" s="39"/>
      <c r="B8" s="45">
        <f>Portada!$J12</f>
        <v>2</v>
      </c>
      <c r="C8" s="45" t="str">
        <f>Portada!$K12</f>
        <v>Name</v>
      </c>
      <c r="D8" s="39"/>
      <c r="E8" s="39"/>
      <c r="F8" s="46" t="s">
        <v>170</v>
      </c>
      <c r="G8" s="47">
        <f>DWEC!$I$47</f>
        <v>0</v>
      </c>
      <c r="H8" s="47">
        <v>0</v>
      </c>
      <c r="I8" s="48">
        <f>IFERROR(ROUND(G8*(H8), 2),0)</f>
        <v>0</v>
      </c>
      <c r="J8" s="39"/>
      <c r="K8" s="46" t="s">
        <v>170</v>
      </c>
      <c r="L8" s="47">
        <f>DWEC!$I$47</f>
        <v>0</v>
      </c>
      <c r="M8" s="47">
        <v>0</v>
      </c>
      <c r="N8" s="48">
        <f>IFERROR(ROUND(L8*(M8), 2),0)</f>
        <v>0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7.5" customHeight="1" thickBot="1" x14ac:dyDescent="0.35">
      <c r="A9" s="39"/>
      <c r="B9" s="45">
        <f>Portada!$J13</f>
        <v>3</v>
      </c>
      <c r="C9" s="45" t="str">
        <f>Portada!$K13</f>
        <v>-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27.5" customHeight="1" thickBot="1" x14ac:dyDescent="0.35">
      <c r="A10" s="39"/>
      <c r="B10" s="45">
        <f>Portada!$J14</f>
        <v>4</v>
      </c>
      <c r="C10" s="45" t="str">
        <f>Portada!$K14</f>
        <v>-</v>
      </c>
      <c r="D10" s="39"/>
      <c r="E10" s="39"/>
      <c r="F10" s="43" t="str">
        <f>Portada!$K13</f>
        <v>-</v>
      </c>
      <c r="G10" s="39"/>
      <c r="H10" s="39"/>
      <c r="I10" s="39"/>
      <c r="J10" s="39"/>
      <c r="K10" s="43" t="str">
        <f>Portada!$K14</f>
        <v>-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5.5" thickBot="1" x14ac:dyDescent="0.35">
      <c r="A11" s="39"/>
      <c r="B11" s="39"/>
      <c r="C11" s="39"/>
      <c r="D11" s="39"/>
      <c r="E11" s="39"/>
      <c r="F11" s="43" t="s">
        <v>166</v>
      </c>
      <c r="G11" s="43" t="s">
        <v>169</v>
      </c>
      <c r="H11" s="43" t="s">
        <v>175</v>
      </c>
      <c r="I11" s="43" t="s">
        <v>167</v>
      </c>
      <c r="J11" s="39"/>
      <c r="K11" s="43" t="s">
        <v>166</v>
      </c>
      <c r="L11" s="43" t="s">
        <v>169</v>
      </c>
      <c r="M11" s="43" t="s">
        <v>175</v>
      </c>
      <c r="N11" s="43" t="s">
        <v>167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23.5" customHeight="1" thickBot="1" x14ac:dyDescent="0.55000000000000004">
      <c r="A12" s="39"/>
      <c r="B12" s="70" t="s">
        <v>181</v>
      </c>
      <c r="C12" s="71"/>
      <c r="D12" s="39"/>
      <c r="E12" s="39"/>
      <c r="F12" s="46" t="s">
        <v>168</v>
      </c>
      <c r="G12" s="47">
        <f>DIW!$I$9 + DIW!$I$26</f>
        <v>0</v>
      </c>
      <c r="H12" s="47">
        <v>0</v>
      </c>
      <c r="I12" s="48">
        <f>IFERROR(ROUND(G12*(H12), 2),0)</f>
        <v>0</v>
      </c>
      <c r="J12" s="39"/>
      <c r="K12" s="46" t="s">
        <v>168</v>
      </c>
      <c r="L12" s="47">
        <f>DIW!$I$9 + DIW!$I$26</f>
        <v>0</v>
      </c>
      <c r="M12" s="47">
        <v>0</v>
      </c>
      <c r="N12" s="48">
        <f>IFERROR(ROUND(L12*(M12), 2),0)</f>
        <v>0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3.5" thickBot="1" x14ac:dyDescent="0.55000000000000004">
      <c r="B13" s="72"/>
      <c r="C13" s="73"/>
      <c r="F13" s="46" t="s">
        <v>170</v>
      </c>
      <c r="G13" s="47">
        <f>DWEC!$I$47</f>
        <v>0</v>
      </c>
      <c r="H13" s="47">
        <v>0</v>
      </c>
      <c r="I13" s="48">
        <f>IFERROR(ROUND(G13*(H13), 2),0)</f>
        <v>0</v>
      </c>
      <c r="K13" s="46" t="s">
        <v>170</v>
      </c>
      <c r="L13" s="47">
        <f>DWEC!$I$47</f>
        <v>0</v>
      </c>
      <c r="M13" s="47">
        <v>0</v>
      </c>
      <c r="N13" s="48">
        <f>IFERROR(ROUND(L13*(M13), 2),0)</f>
        <v>0</v>
      </c>
    </row>
    <row r="14" spans="1:26" ht="22" customHeight="1" thickBot="1" x14ac:dyDescent="0.35">
      <c r="B14" s="74"/>
      <c r="C14" s="75"/>
      <c r="F14" s="39"/>
      <c r="G14" s="39"/>
      <c r="H14" s="40"/>
    </row>
    <row r="15" spans="1:26" ht="22" customHeight="1" thickBot="1" x14ac:dyDescent="0.35">
      <c r="B15" s="65"/>
      <c r="C15" s="65"/>
      <c r="F15" s="39"/>
      <c r="G15" s="39"/>
      <c r="H15" s="40"/>
    </row>
    <row r="16" spans="1:26" ht="28" customHeight="1" thickBot="1" x14ac:dyDescent="0.35">
      <c r="F16" s="43" t="s">
        <v>176</v>
      </c>
      <c r="G16" s="39"/>
      <c r="H16" s="40"/>
    </row>
    <row r="17" spans="6:9" ht="25.5" thickBot="1" x14ac:dyDescent="0.3">
      <c r="F17" s="43" t="s">
        <v>166</v>
      </c>
      <c r="G17" s="43" t="s">
        <v>169</v>
      </c>
      <c r="H17" s="43" t="s">
        <v>175</v>
      </c>
      <c r="I17" s="43" t="s">
        <v>167</v>
      </c>
    </row>
    <row r="18" spans="6:9" ht="23.5" thickBot="1" x14ac:dyDescent="0.55000000000000004">
      <c r="F18" s="46" t="s">
        <v>177</v>
      </c>
      <c r="G18" s="47">
        <v>10</v>
      </c>
      <c r="H18" s="61">
        <v>0.66</v>
      </c>
      <c r="I18" s="48">
        <f>IFERROR(ROUND(G18*(H18), 2),0)</f>
        <v>6.6</v>
      </c>
    </row>
    <row r="19" spans="6:9" ht="14.25" customHeight="1" x14ac:dyDescent="0.3">
      <c r="F19" s="39"/>
      <c r="G19" s="39"/>
      <c r="H19" s="40"/>
    </row>
    <row r="20" spans="6:9" ht="14.25" customHeight="1" x14ac:dyDescent="0.3">
      <c r="F20" s="39"/>
      <c r="G20" s="39"/>
      <c r="H20" s="40"/>
    </row>
    <row r="21" spans="6:9" ht="14.25" customHeight="1" x14ac:dyDescent="0.3">
      <c r="F21" s="39"/>
      <c r="G21" s="39"/>
      <c r="H21" s="40"/>
    </row>
    <row r="22" spans="6:9" ht="14.25" customHeight="1" x14ac:dyDescent="0.3">
      <c r="F22" s="39"/>
      <c r="G22" s="39"/>
      <c r="H22" s="40"/>
    </row>
    <row r="23" spans="6:9" ht="14.25" customHeight="1" x14ac:dyDescent="0.3">
      <c r="F23" s="39"/>
      <c r="G23" s="39"/>
      <c r="H23" s="40"/>
    </row>
    <row r="24" spans="6:9" ht="14.25" customHeight="1" x14ac:dyDescent="0.3">
      <c r="F24" s="39"/>
      <c r="G24" s="39"/>
      <c r="H24" s="40"/>
    </row>
    <row r="25" spans="6:9" ht="14.25" customHeight="1" x14ac:dyDescent="0.3">
      <c r="F25" s="39"/>
      <c r="G25" s="39"/>
      <c r="H25" s="40"/>
    </row>
    <row r="26" spans="6:9" ht="14.25" customHeight="1" x14ac:dyDescent="0.3">
      <c r="F26" s="39"/>
      <c r="G26" s="39"/>
      <c r="H26" s="40"/>
    </row>
    <row r="27" spans="6:9" ht="14.25" customHeight="1" x14ac:dyDescent="0.3">
      <c r="F27" s="39"/>
      <c r="G27" s="39"/>
      <c r="H27" s="40"/>
    </row>
    <row r="28" spans="6:9" ht="14.25" customHeight="1" x14ac:dyDescent="0.3">
      <c r="F28" s="39"/>
      <c r="G28" s="39"/>
      <c r="H28" s="40"/>
    </row>
    <row r="29" spans="6:9" ht="14.25" customHeight="1" x14ac:dyDescent="0.3">
      <c r="F29" s="39"/>
      <c r="G29" s="39"/>
      <c r="H29" s="40"/>
    </row>
    <row r="30" spans="6:9" ht="14.25" customHeight="1" x14ac:dyDescent="0.3">
      <c r="F30" s="39"/>
      <c r="G30" s="39"/>
      <c r="H30" s="40"/>
    </row>
    <row r="31" spans="6:9" ht="14.25" customHeight="1" x14ac:dyDescent="0.3">
      <c r="F31" s="39"/>
      <c r="G31" s="39"/>
      <c r="H31" s="40"/>
    </row>
    <row r="32" spans="6:9" ht="14.25" customHeight="1" x14ac:dyDescent="0.3">
      <c r="F32" s="39"/>
      <c r="G32" s="39"/>
      <c r="H32" s="40"/>
    </row>
    <row r="33" spans="6:8" ht="14.25" customHeight="1" x14ac:dyDescent="0.3">
      <c r="F33" s="39"/>
      <c r="G33" s="39"/>
      <c r="H33" s="40"/>
    </row>
    <row r="34" spans="6:8" ht="14.25" customHeight="1" x14ac:dyDescent="0.3">
      <c r="F34" s="39"/>
      <c r="G34" s="39"/>
      <c r="H34" s="40"/>
    </row>
    <row r="35" spans="6:8" ht="14.25" customHeight="1" x14ac:dyDescent="0.3">
      <c r="F35" s="39"/>
      <c r="G35" s="39"/>
      <c r="H35" s="40"/>
    </row>
    <row r="36" spans="6:8" ht="14.25" customHeight="1" x14ac:dyDescent="0.3">
      <c r="F36" s="39"/>
      <c r="G36" s="39"/>
      <c r="H36" s="40"/>
    </row>
    <row r="37" spans="6:8" ht="14.25" customHeight="1" x14ac:dyDescent="0.3">
      <c r="F37" s="39"/>
      <c r="G37" s="39"/>
      <c r="H37" s="40"/>
    </row>
    <row r="38" spans="6:8" ht="14.25" customHeight="1" x14ac:dyDescent="0.3">
      <c r="F38" s="39"/>
      <c r="G38" s="39"/>
      <c r="H38" s="40"/>
    </row>
    <row r="39" spans="6:8" ht="14.25" customHeight="1" x14ac:dyDescent="0.3">
      <c r="F39" s="39"/>
      <c r="G39" s="39"/>
      <c r="H39" s="40"/>
    </row>
    <row r="40" spans="6:8" ht="14.25" customHeight="1" x14ac:dyDescent="0.3">
      <c r="F40" s="39"/>
      <c r="G40" s="39"/>
      <c r="H40" s="40"/>
    </row>
    <row r="41" spans="6:8" ht="14.25" customHeight="1" x14ac:dyDescent="0.3">
      <c r="F41" s="39"/>
      <c r="G41" s="39"/>
      <c r="H41" s="40"/>
    </row>
    <row r="42" spans="6:8" ht="14.25" customHeight="1" x14ac:dyDescent="0.3">
      <c r="F42" s="39"/>
      <c r="G42" s="39"/>
      <c r="H42" s="40"/>
    </row>
    <row r="43" spans="6:8" ht="14.25" customHeight="1" x14ac:dyDescent="0.3">
      <c r="F43" s="39"/>
      <c r="G43" s="39"/>
      <c r="H43" s="40"/>
    </row>
    <row r="44" spans="6:8" ht="14.25" customHeight="1" x14ac:dyDescent="0.3">
      <c r="F44" s="39"/>
      <c r="G44" s="39"/>
      <c r="H44" s="40"/>
    </row>
    <row r="45" spans="6:8" ht="14.25" customHeight="1" x14ac:dyDescent="0.3">
      <c r="F45" s="39"/>
      <c r="G45" s="39"/>
      <c r="H45" s="40"/>
    </row>
    <row r="46" spans="6:8" ht="14.25" customHeight="1" x14ac:dyDescent="0.3">
      <c r="F46" s="39"/>
      <c r="G46" s="39"/>
      <c r="H46" s="40"/>
    </row>
    <row r="47" spans="6:8" ht="14.25" customHeight="1" x14ac:dyDescent="0.3">
      <c r="F47" s="39"/>
      <c r="G47" s="39"/>
      <c r="H47" s="40"/>
    </row>
    <row r="48" spans="6:8" ht="14.25" customHeight="1" x14ac:dyDescent="0.3">
      <c r="F48" s="39"/>
      <c r="G48" s="39"/>
      <c r="H48" s="40"/>
    </row>
    <row r="49" spans="6:8" ht="14.25" customHeight="1" x14ac:dyDescent="0.3">
      <c r="F49" s="39"/>
      <c r="G49" s="39"/>
      <c r="H49" s="40"/>
    </row>
    <row r="50" spans="6:8" ht="14.25" customHeight="1" x14ac:dyDescent="0.3">
      <c r="F50" s="39"/>
      <c r="G50" s="39"/>
      <c r="H50" s="40"/>
    </row>
    <row r="51" spans="6:8" ht="14.25" customHeight="1" x14ac:dyDescent="0.3">
      <c r="F51" s="39"/>
      <c r="G51" s="39"/>
      <c r="H51" s="40"/>
    </row>
    <row r="52" spans="6:8" ht="14.25" customHeight="1" x14ac:dyDescent="0.3">
      <c r="F52" s="39"/>
      <c r="G52" s="39"/>
      <c r="H52" s="40"/>
    </row>
    <row r="53" spans="6:8" ht="14.25" customHeight="1" x14ac:dyDescent="0.3">
      <c r="F53" s="39"/>
      <c r="G53" s="39"/>
      <c r="H53" s="40"/>
    </row>
    <row r="54" spans="6:8" ht="14.25" customHeight="1" x14ac:dyDescent="0.3">
      <c r="F54" s="39"/>
      <c r="G54" s="39"/>
      <c r="H54" s="40"/>
    </row>
    <row r="55" spans="6:8" ht="14.25" customHeight="1" x14ac:dyDescent="0.3">
      <c r="F55" s="39"/>
      <c r="G55" s="39"/>
      <c r="H55" s="40"/>
    </row>
    <row r="56" spans="6:8" ht="14.25" customHeight="1" x14ac:dyDescent="0.3">
      <c r="F56" s="39"/>
      <c r="G56" s="39"/>
      <c r="H56" s="40"/>
    </row>
    <row r="57" spans="6:8" ht="14.25" customHeight="1" x14ac:dyDescent="0.3">
      <c r="F57" s="39"/>
      <c r="G57" s="39"/>
      <c r="H57" s="40"/>
    </row>
    <row r="58" spans="6:8" ht="14.25" customHeight="1" x14ac:dyDescent="0.3">
      <c r="F58" s="39"/>
      <c r="G58" s="39"/>
      <c r="H58" s="40"/>
    </row>
    <row r="59" spans="6:8" ht="14.25" customHeight="1" x14ac:dyDescent="0.3">
      <c r="F59" s="39"/>
      <c r="G59" s="39"/>
      <c r="H59" s="40"/>
    </row>
    <row r="60" spans="6:8" ht="14.25" customHeight="1" x14ac:dyDescent="0.3">
      <c r="F60" s="39"/>
      <c r="G60" s="39"/>
      <c r="H60" s="40"/>
    </row>
    <row r="61" spans="6:8" ht="14.25" customHeight="1" x14ac:dyDescent="0.3">
      <c r="F61" s="39"/>
      <c r="G61" s="39"/>
      <c r="H61" s="40"/>
    </row>
    <row r="62" spans="6:8" ht="14.25" customHeight="1" x14ac:dyDescent="0.3">
      <c r="F62" s="39"/>
      <c r="G62" s="39"/>
      <c r="H62" s="40"/>
    </row>
    <row r="63" spans="6:8" ht="14.25" customHeight="1" x14ac:dyDescent="0.3">
      <c r="F63" s="39"/>
      <c r="G63" s="39"/>
      <c r="H63" s="40"/>
    </row>
    <row r="64" spans="6:8" ht="14.25" customHeight="1" x14ac:dyDescent="0.3">
      <c r="F64" s="39"/>
      <c r="G64" s="39"/>
      <c r="H64" s="40"/>
    </row>
    <row r="65" spans="6:8" ht="14.25" customHeight="1" x14ac:dyDescent="0.3">
      <c r="F65" s="39"/>
      <c r="G65" s="39"/>
      <c r="H65" s="40"/>
    </row>
    <row r="66" spans="6:8" ht="14.25" customHeight="1" x14ac:dyDescent="0.3">
      <c r="F66" s="39"/>
      <c r="G66" s="39"/>
      <c r="H66" s="40"/>
    </row>
    <row r="67" spans="6:8" ht="14.25" customHeight="1" x14ac:dyDescent="0.3">
      <c r="F67" s="39"/>
      <c r="G67" s="39"/>
      <c r="H67" s="40"/>
    </row>
    <row r="68" spans="6:8" ht="14.25" customHeight="1" x14ac:dyDescent="0.3">
      <c r="F68" s="39"/>
      <c r="G68" s="39"/>
      <c r="H68" s="40"/>
    </row>
    <row r="69" spans="6:8" ht="14.25" customHeight="1" x14ac:dyDescent="0.3">
      <c r="F69" s="39"/>
      <c r="G69" s="39"/>
      <c r="H69" s="40"/>
    </row>
    <row r="70" spans="6:8" ht="14.25" customHeight="1" x14ac:dyDescent="0.3">
      <c r="F70" s="39"/>
      <c r="G70" s="39"/>
      <c r="H70" s="40"/>
    </row>
    <row r="71" spans="6:8" ht="14.25" customHeight="1" x14ac:dyDescent="0.3">
      <c r="F71" s="39"/>
      <c r="G71" s="39"/>
      <c r="H71" s="40"/>
    </row>
    <row r="72" spans="6:8" ht="14.25" customHeight="1" x14ac:dyDescent="0.3">
      <c r="F72" s="39"/>
      <c r="G72" s="39"/>
      <c r="H72" s="40"/>
    </row>
    <row r="73" spans="6:8" ht="14.25" customHeight="1" x14ac:dyDescent="0.3">
      <c r="F73" s="39"/>
      <c r="G73" s="39"/>
      <c r="H73" s="40"/>
    </row>
    <row r="74" spans="6:8" ht="14.25" customHeight="1" x14ac:dyDescent="0.3">
      <c r="F74" s="39"/>
      <c r="G74" s="39"/>
      <c r="H74" s="40"/>
    </row>
    <row r="75" spans="6:8" ht="14.25" customHeight="1" x14ac:dyDescent="0.3">
      <c r="F75" s="39"/>
      <c r="G75" s="39"/>
      <c r="H75" s="40"/>
    </row>
    <row r="76" spans="6:8" ht="14.25" customHeight="1" x14ac:dyDescent="0.3">
      <c r="F76" s="39"/>
      <c r="G76" s="39"/>
      <c r="H76" s="40"/>
    </row>
    <row r="77" spans="6:8" ht="14.25" customHeight="1" x14ac:dyDescent="0.3">
      <c r="F77" s="39"/>
      <c r="G77" s="39"/>
      <c r="H77" s="40"/>
    </row>
    <row r="78" spans="6:8" ht="14.25" customHeight="1" x14ac:dyDescent="0.3">
      <c r="F78" s="39"/>
      <c r="G78" s="39"/>
      <c r="H78" s="40"/>
    </row>
    <row r="79" spans="6:8" ht="14.25" customHeight="1" x14ac:dyDescent="0.3">
      <c r="F79" s="39"/>
      <c r="G79" s="39"/>
      <c r="H79" s="40"/>
    </row>
    <row r="80" spans="6:8" ht="14.25" customHeight="1" x14ac:dyDescent="0.3">
      <c r="F80" s="39"/>
      <c r="G80" s="39"/>
      <c r="H80" s="40"/>
    </row>
    <row r="81" spans="6:8" ht="14.25" customHeight="1" x14ac:dyDescent="0.3">
      <c r="F81" s="39"/>
      <c r="G81" s="39"/>
      <c r="H81" s="40"/>
    </row>
    <row r="82" spans="6:8" ht="14.25" customHeight="1" x14ac:dyDescent="0.3">
      <c r="F82" s="39"/>
      <c r="G82" s="39"/>
      <c r="H82" s="40"/>
    </row>
    <row r="83" spans="6:8" ht="14.25" customHeight="1" x14ac:dyDescent="0.3">
      <c r="F83" s="39"/>
      <c r="G83" s="39"/>
      <c r="H83" s="40"/>
    </row>
    <row r="84" spans="6:8" ht="14.25" customHeight="1" x14ac:dyDescent="0.3">
      <c r="F84" s="39"/>
      <c r="G84" s="39"/>
      <c r="H84" s="40"/>
    </row>
    <row r="85" spans="6:8" ht="14.25" customHeight="1" x14ac:dyDescent="0.3">
      <c r="F85" s="39"/>
      <c r="G85" s="39"/>
      <c r="H85" s="40"/>
    </row>
    <row r="86" spans="6:8" ht="14.25" customHeight="1" x14ac:dyDescent="0.3">
      <c r="F86" s="39"/>
      <c r="G86" s="39"/>
      <c r="H86" s="40"/>
    </row>
    <row r="87" spans="6:8" ht="14.25" customHeight="1" x14ac:dyDescent="0.3">
      <c r="F87" s="39"/>
      <c r="G87" s="39"/>
      <c r="H87" s="40"/>
    </row>
    <row r="88" spans="6:8" ht="14.25" customHeight="1" x14ac:dyDescent="0.3">
      <c r="F88" s="39"/>
      <c r="G88" s="39"/>
      <c r="H88" s="40"/>
    </row>
    <row r="89" spans="6:8" ht="14.25" customHeight="1" x14ac:dyDescent="0.3">
      <c r="F89" s="39"/>
      <c r="G89" s="39"/>
      <c r="H89" s="40"/>
    </row>
    <row r="90" spans="6:8" ht="14.25" customHeight="1" x14ac:dyDescent="0.3">
      <c r="F90" s="39"/>
      <c r="G90" s="39"/>
      <c r="H90" s="40"/>
    </row>
    <row r="91" spans="6:8" ht="14.25" customHeight="1" x14ac:dyDescent="0.3">
      <c r="F91" s="39"/>
      <c r="G91" s="39"/>
      <c r="H91" s="40"/>
    </row>
    <row r="92" spans="6:8" ht="14.25" customHeight="1" x14ac:dyDescent="0.3">
      <c r="F92" s="39"/>
      <c r="G92" s="39"/>
      <c r="H92" s="40"/>
    </row>
    <row r="93" spans="6:8" ht="14.25" customHeight="1" x14ac:dyDescent="0.3">
      <c r="F93" s="39"/>
      <c r="G93" s="39"/>
      <c r="H93" s="40"/>
    </row>
    <row r="94" spans="6:8" ht="14.25" customHeight="1" x14ac:dyDescent="0.3">
      <c r="F94" s="39"/>
      <c r="G94" s="39"/>
      <c r="H94" s="40"/>
    </row>
    <row r="95" spans="6:8" ht="14.25" customHeight="1" x14ac:dyDescent="0.3">
      <c r="F95" s="39"/>
      <c r="G95" s="39"/>
      <c r="H95" s="40"/>
    </row>
    <row r="96" spans="6:8" ht="14.25" customHeight="1" x14ac:dyDescent="0.3">
      <c r="F96" s="39"/>
      <c r="G96" s="39"/>
      <c r="H96" s="40"/>
    </row>
    <row r="97" spans="6:8" ht="14.25" customHeight="1" x14ac:dyDescent="0.3">
      <c r="F97" s="39"/>
      <c r="G97" s="39"/>
      <c r="H97" s="40"/>
    </row>
    <row r="98" spans="6:8" ht="14.25" customHeight="1" x14ac:dyDescent="0.3">
      <c r="F98" s="39"/>
      <c r="G98" s="39"/>
      <c r="H98" s="40"/>
    </row>
    <row r="99" spans="6:8" ht="14.25" customHeight="1" x14ac:dyDescent="0.3">
      <c r="F99" s="39"/>
      <c r="G99" s="39"/>
      <c r="H99" s="40"/>
    </row>
    <row r="100" spans="6:8" ht="14.25" customHeight="1" x14ac:dyDescent="0.3">
      <c r="F100" s="39"/>
      <c r="G100" s="39"/>
      <c r="H100" s="40"/>
    </row>
    <row r="101" spans="6:8" ht="14.25" customHeight="1" x14ac:dyDescent="0.3">
      <c r="F101" s="39"/>
      <c r="G101" s="39"/>
      <c r="H101" s="40"/>
    </row>
    <row r="102" spans="6:8" ht="14.25" customHeight="1" x14ac:dyDescent="0.3">
      <c r="F102" s="39"/>
      <c r="G102" s="39"/>
      <c r="H102" s="40"/>
    </row>
    <row r="103" spans="6:8" ht="14.25" customHeight="1" x14ac:dyDescent="0.3">
      <c r="F103" s="39"/>
      <c r="G103" s="39"/>
      <c r="H103" s="40"/>
    </row>
    <row r="104" spans="6:8" ht="14.25" customHeight="1" x14ac:dyDescent="0.3">
      <c r="F104" s="39"/>
      <c r="G104" s="39"/>
      <c r="H104" s="40"/>
    </row>
    <row r="105" spans="6:8" ht="14.25" customHeight="1" x14ac:dyDescent="0.3">
      <c r="F105" s="39"/>
      <c r="G105" s="39"/>
      <c r="H105" s="40"/>
    </row>
    <row r="106" spans="6:8" ht="14.25" customHeight="1" x14ac:dyDescent="0.3">
      <c r="F106" s="39"/>
      <c r="G106" s="39"/>
      <c r="H106" s="40"/>
    </row>
    <row r="107" spans="6:8" ht="14.25" customHeight="1" x14ac:dyDescent="0.3">
      <c r="F107" s="39"/>
      <c r="G107" s="39"/>
      <c r="H107" s="40"/>
    </row>
    <row r="108" spans="6:8" ht="14.25" customHeight="1" x14ac:dyDescent="0.3">
      <c r="F108" s="39"/>
      <c r="G108" s="39"/>
      <c r="H108" s="40"/>
    </row>
    <row r="109" spans="6:8" ht="14.25" customHeight="1" x14ac:dyDescent="0.3">
      <c r="F109" s="39"/>
      <c r="G109" s="39"/>
      <c r="H109" s="40"/>
    </row>
    <row r="110" spans="6:8" ht="14.25" customHeight="1" x14ac:dyDescent="0.3">
      <c r="F110" s="39"/>
      <c r="G110" s="39"/>
      <c r="H110" s="40"/>
    </row>
    <row r="111" spans="6:8" ht="14.25" customHeight="1" x14ac:dyDescent="0.3">
      <c r="F111" s="39"/>
      <c r="G111" s="39"/>
      <c r="H111" s="40"/>
    </row>
    <row r="112" spans="6:8" ht="14.25" customHeight="1" x14ac:dyDescent="0.3">
      <c r="F112" s="39"/>
      <c r="G112" s="39"/>
      <c r="H112" s="40"/>
    </row>
    <row r="113" spans="6:8" ht="14.25" customHeight="1" x14ac:dyDescent="0.3">
      <c r="F113" s="39"/>
      <c r="G113" s="39"/>
      <c r="H113" s="40"/>
    </row>
    <row r="114" spans="6:8" ht="14.25" customHeight="1" x14ac:dyDescent="0.3">
      <c r="F114" s="39"/>
      <c r="G114" s="39"/>
      <c r="H114" s="40"/>
    </row>
    <row r="115" spans="6:8" ht="14.25" customHeight="1" x14ac:dyDescent="0.3">
      <c r="F115" s="39"/>
      <c r="G115" s="39"/>
      <c r="H115" s="40"/>
    </row>
    <row r="116" spans="6:8" ht="14.25" customHeight="1" x14ac:dyDescent="0.3">
      <c r="F116" s="39"/>
      <c r="G116" s="39"/>
      <c r="H116" s="40"/>
    </row>
    <row r="117" spans="6:8" ht="14.25" customHeight="1" x14ac:dyDescent="0.3">
      <c r="F117" s="39"/>
      <c r="G117" s="39"/>
      <c r="H117" s="40"/>
    </row>
    <row r="118" spans="6:8" ht="14.25" customHeight="1" x14ac:dyDescent="0.3">
      <c r="F118" s="39"/>
      <c r="G118" s="39"/>
      <c r="H118" s="40"/>
    </row>
    <row r="119" spans="6:8" ht="14.25" customHeight="1" x14ac:dyDescent="0.3">
      <c r="F119" s="39"/>
      <c r="G119" s="39"/>
      <c r="H119" s="40"/>
    </row>
    <row r="120" spans="6:8" ht="14.25" customHeight="1" x14ac:dyDescent="0.3">
      <c r="F120" s="39"/>
      <c r="G120" s="39"/>
      <c r="H120" s="40"/>
    </row>
    <row r="121" spans="6:8" ht="14.25" customHeight="1" x14ac:dyDescent="0.3">
      <c r="F121" s="39"/>
      <c r="G121" s="39"/>
      <c r="H121" s="40"/>
    </row>
    <row r="122" spans="6:8" ht="14.25" customHeight="1" x14ac:dyDescent="0.3">
      <c r="F122" s="39"/>
      <c r="G122" s="39"/>
      <c r="H122" s="40"/>
    </row>
    <row r="123" spans="6:8" ht="14.25" customHeight="1" x14ac:dyDescent="0.3">
      <c r="F123" s="39"/>
      <c r="G123" s="39"/>
      <c r="H123" s="40"/>
    </row>
    <row r="124" spans="6:8" ht="14.25" customHeight="1" x14ac:dyDescent="0.3">
      <c r="F124" s="39"/>
      <c r="G124" s="39"/>
      <c r="H124" s="40"/>
    </row>
    <row r="125" spans="6:8" ht="14.25" customHeight="1" x14ac:dyDescent="0.3">
      <c r="F125" s="39"/>
      <c r="G125" s="39"/>
      <c r="H125" s="40"/>
    </row>
    <row r="126" spans="6:8" ht="14.25" customHeight="1" x14ac:dyDescent="0.3">
      <c r="F126" s="39"/>
      <c r="G126" s="39"/>
      <c r="H126" s="40"/>
    </row>
    <row r="127" spans="6:8" ht="14.25" customHeight="1" x14ac:dyDescent="0.3">
      <c r="F127" s="39"/>
      <c r="G127" s="39"/>
      <c r="H127" s="40"/>
    </row>
    <row r="128" spans="6:8" ht="14.25" customHeight="1" x14ac:dyDescent="0.3">
      <c r="F128" s="39"/>
      <c r="G128" s="39"/>
      <c r="H128" s="40"/>
    </row>
    <row r="129" spans="6:8" ht="14.25" customHeight="1" x14ac:dyDescent="0.3">
      <c r="F129" s="39"/>
      <c r="G129" s="39"/>
      <c r="H129" s="40"/>
    </row>
    <row r="130" spans="6:8" ht="14.25" customHeight="1" x14ac:dyDescent="0.3">
      <c r="F130" s="39"/>
      <c r="G130" s="39"/>
      <c r="H130" s="40"/>
    </row>
    <row r="131" spans="6:8" ht="14.25" customHeight="1" x14ac:dyDescent="0.3">
      <c r="F131" s="39"/>
      <c r="G131" s="39"/>
      <c r="H131" s="40"/>
    </row>
    <row r="132" spans="6:8" ht="14.25" customHeight="1" x14ac:dyDescent="0.3">
      <c r="F132" s="39"/>
      <c r="G132" s="39"/>
      <c r="H132" s="40"/>
    </row>
    <row r="133" spans="6:8" ht="14.25" customHeight="1" x14ac:dyDescent="0.3">
      <c r="F133" s="39"/>
      <c r="G133" s="39"/>
      <c r="H133" s="40"/>
    </row>
    <row r="134" spans="6:8" ht="14.25" customHeight="1" x14ac:dyDescent="0.3">
      <c r="F134" s="39"/>
      <c r="G134" s="39"/>
      <c r="H134" s="40"/>
    </row>
    <row r="135" spans="6:8" ht="14.25" customHeight="1" x14ac:dyDescent="0.3">
      <c r="F135" s="39"/>
      <c r="G135" s="39"/>
      <c r="H135" s="40"/>
    </row>
    <row r="136" spans="6:8" ht="14.25" customHeight="1" x14ac:dyDescent="0.3">
      <c r="F136" s="39"/>
      <c r="G136" s="39"/>
      <c r="H136" s="40"/>
    </row>
    <row r="137" spans="6:8" ht="14.25" customHeight="1" x14ac:dyDescent="0.3">
      <c r="F137" s="39"/>
      <c r="G137" s="39"/>
      <c r="H137" s="40"/>
    </row>
    <row r="138" spans="6:8" ht="14.25" customHeight="1" x14ac:dyDescent="0.3">
      <c r="F138" s="39"/>
      <c r="G138" s="39"/>
      <c r="H138" s="40"/>
    </row>
    <row r="139" spans="6:8" ht="14.25" customHeight="1" x14ac:dyDescent="0.3">
      <c r="F139" s="39"/>
      <c r="G139" s="39"/>
      <c r="H139" s="40"/>
    </row>
    <row r="140" spans="6:8" ht="14.25" customHeight="1" x14ac:dyDescent="0.3">
      <c r="F140" s="39"/>
      <c r="G140" s="39"/>
      <c r="H140" s="40"/>
    </row>
    <row r="141" spans="6:8" ht="14.25" customHeight="1" x14ac:dyDescent="0.3">
      <c r="F141" s="39"/>
      <c r="G141" s="39"/>
      <c r="H141" s="40"/>
    </row>
    <row r="142" spans="6:8" ht="14.25" customHeight="1" x14ac:dyDescent="0.3">
      <c r="F142" s="39"/>
      <c r="G142" s="39"/>
      <c r="H142" s="40"/>
    </row>
    <row r="143" spans="6:8" ht="14.25" customHeight="1" x14ac:dyDescent="0.3">
      <c r="F143" s="39"/>
      <c r="G143" s="39"/>
      <c r="H143" s="40"/>
    </row>
    <row r="144" spans="6:8" ht="14.25" customHeight="1" x14ac:dyDescent="0.3">
      <c r="F144" s="39"/>
      <c r="G144" s="39"/>
      <c r="H144" s="40"/>
    </row>
    <row r="145" spans="6:8" ht="14.25" customHeight="1" x14ac:dyDescent="0.3">
      <c r="F145" s="39"/>
      <c r="G145" s="39"/>
      <c r="H145" s="40"/>
    </row>
    <row r="146" spans="6:8" ht="14.25" customHeight="1" x14ac:dyDescent="0.3">
      <c r="F146" s="39"/>
      <c r="G146" s="39"/>
      <c r="H146" s="40"/>
    </row>
    <row r="147" spans="6:8" ht="14.25" customHeight="1" x14ac:dyDescent="0.3">
      <c r="F147" s="39"/>
      <c r="G147" s="39"/>
      <c r="H147" s="40"/>
    </row>
    <row r="148" spans="6:8" ht="14.25" customHeight="1" x14ac:dyDescent="0.3">
      <c r="F148" s="39"/>
      <c r="G148" s="39"/>
      <c r="H148" s="40"/>
    </row>
    <row r="149" spans="6:8" ht="14.25" customHeight="1" x14ac:dyDescent="0.3">
      <c r="F149" s="39"/>
      <c r="G149" s="39"/>
      <c r="H149" s="40"/>
    </row>
    <row r="150" spans="6:8" ht="14.25" customHeight="1" x14ac:dyDescent="0.3">
      <c r="F150" s="39"/>
      <c r="G150" s="39"/>
      <c r="H150" s="40"/>
    </row>
    <row r="151" spans="6:8" ht="14.25" customHeight="1" x14ac:dyDescent="0.3">
      <c r="F151" s="39"/>
      <c r="G151" s="39"/>
      <c r="H151" s="40"/>
    </row>
    <row r="152" spans="6:8" ht="14.25" customHeight="1" x14ac:dyDescent="0.3">
      <c r="F152" s="39"/>
      <c r="G152" s="39"/>
      <c r="H152" s="40"/>
    </row>
    <row r="153" spans="6:8" ht="14.25" customHeight="1" x14ac:dyDescent="0.3">
      <c r="F153" s="39"/>
      <c r="G153" s="39"/>
      <c r="H153" s="40"/>
    </row>
    <row r="154" spans="6:8" ht="14.25" customHeight="1" x14ac:dyDescent="0.3">
      <c r="F154" s="39"/>
      <c r="G154" s="39"/>
      <c r="H154" s="40"/>
    </row>
    <row r="155" spans="6:8" ht="14.25" customHeight="1" x14ac:dyDescent="0.3">
      <c r="F155" s="39"/>
      <c r="G155" s="39"/>
      <c r="H155" s="40"/>
    </row>
    <row r="156" spans="6:8" ht="14.25" customHeight="1" x14ac:dyDescent="0.3">
      <c r="F156" s="39"/>
      <c r="G156" s="39"/>
      <c r="H156" s="40"/>
    </row>
    <row r="157" spans="6:8" ht="14.25" customHeight="1" x14ac:dyDescent="0.3">
      <c r="F157" s="39"/>
      <c r="G157" s="39"/>
      <c r="H157" s="40"/>
    </row>
    <row r="158" spans="6:8" ht="14.25" customHeight="1" x14ac:dyDescent="0.3">
      <c r="F158" s="39"/>
      <c r="G158" s="39"/>
      <c r="H158" s="40"/>
    </row>
    <row r="159" spans="6:8" ht="14.25" customHeight="1" x14ac:dyDescent="0.3">
      <c r="F159" s="39"/>
      <c r="G159" s="39"/>
      <c r="H159" s="40"/>
    </row>
    <row r="160" spans="6:8" ht="14.25" customHeight="1" x14ac:dyDescent="0.3">
      <c r="F160" s="39"/>
      <c r="G160" s="39"/>
      <c r="H160" s="40"/>
    </row>
    <row r="161" spans="6:8" ht="14.25" customHeight="1" x14ac:dyDescent="0.3">
      <c r="F161" s="39"/>
      <c r="G161" s="39"/>
      <c r="H161" s="40"/>
    </row>
    <row r="162" spans="6:8" ht="14.25" customHeight="1" x14ac:dyDescent="0.3">
      <c r="F162" s="39"/>
      <c r="G162" s="39"/>
      <c r="H162" s="40"/>
    </row>
    <row r="163" spans="6:8" ht="14.25" customHeight="1" x14ac:dyDescent="0.3">
      <c r="F163" s="39"/>
      <c r="G163" s="39"/>
      <c r="H163" s="40"/>
    </row>
    <row r="164" spans="6:8" ht="14.25" customHeight="1" x14ac:dyDescent="0.3">
      <c r="F164" s="39"/>
      <c r="G164" s="39"/>
      <c r="H164" s="40"/>
    </row>
    <row r="165" spans="6:8" ht="14.25" customHeight="1" x14ac:dyDescent="0.3">
      <c r="F165" s="39"/>
      <c r="G165" s="39"/>
      <c r="H165" s="40"/>
    </row>
    <row r="166" spans="6:8" ht="14.25" customHeight="1" x14ac:dyDescent="0.3">
      <c r="F166" s="39"/>
      <c r="G166" s="39"/>
      <c r="H166" s="40"/>
    </row>
    <row r="167" spans="6:8" ht="14.25" customHeight="1" x14ac:dyDescent="0.3">
      <c r="F167" s="39"/>
      <c r="G167" s="39"/>
      <c r="H167" s="40"/>
    </row>
    <row r="168" spans="6:8" ht="14.25" customHeight="1" x14ac:dyDescent="0.3">
      <c r="F168" s="39"/>
      <c r="G168" s="39"/>
      <c r="H168" s="40"/>
    </row>
    <row r="169" spans="6:8" ht="14.25" customHeight="1" x14ac:dyDescent="0.3">
      <c r="F169" s="39"/>
      <c r="G169" s="39"/>
      <c r="H169" s="40"/>
    </row>
    <row r="170" spans="6:8" ht="14.25" customHeight="1" x14ac:dyDescent="0.3">
      <c r="F170" s="39"/>
      <c r="G170" s="39"/>
      <c r="H170" s="40"/>
    </row>
    <row r="171" spans="6:8" ht="14.25" customHeight="1" x14ac:dyDescent="0.3">
      <c r="F171" s="39"/>
      <c r="G171" s="39"/>
      <c r="H171" s="40"/>
    </row>
    <row r="172" spans="6:8" ht="14.25" customHeight="1" x14ac:dyDescent="0.3">
      <c r="F172" s="39"/>
      <c r="G172" s="39"/>
      <c r="H172" s="40"/>
    </row>
    <row r="173" spans="6:8" ht="14.25" customHeight="1" x14ac:dyDescent="0.3">
      <c r="F173" s="39"/>
      <c r="G173" s="39"/>
      <c r="H173" s="40"/>
    </row>
    <row r="174" spans="6:8" ht="14.25" customHeight="1" x14ac:dyDescent="0.3">
      <c r="F174" s="39"/>
      <c r="G174" s="39"/>
      <c r="H174" s="40"/>
    </row>
    <row r="175" spans="6:8" ht="14.25" customHeight="1" x14ac:dyDescent="0.3">
      <c r="F175" s="39"/>
      <c r="G175" s="39"/>
      <c r="H175" s="40"/>
    </row>
    <row r="176" spans="6:8" ht="14.25" customHeight="1" x14ac:dyDescent="0.3">
      <c r="F176" s="39"/>
      <c r="G176" s="39"/>
      <c r="H176" s="40"/>
    </row>
    <row r="177" spans="6:8" ht="14.25" customHeight="1" x14ac:dyDescent="0.3">
      <c r="F177" s="39"/>
      <c r="G177" s="39"/>
      <c r="H177" s="40"/>
    </row>
    <row r="178" spans="6:8" ht="14.25" customHeight="1" x14ac:dyDescent="0.3">
      <c r="F178" s="39"/>
      <c r="G178" s="39"/>
      <c r="H178" s="40"/>
    </row>
    <row r="179" spans="6:8" ht="14.25" customHeight="1" x14ac:dyDescent="0.3">
      <c r="F179" s="39"/>
      <c r="G179" s="39"/>
      <c r="H179" s="40"/>
    </row>
    <row r="180" spans="6:8" ht="14.25" customHeight="1" x14ac:dyDescent="0.3">
      <c r="F180" s="39"/>
      <c r="G180" s="39"/>
      <c r="H180" s="40"/>
    </row>
    <row r="181" spans="6:8" ht="14.25" customHeight="1" x14ac:dyDescent="0.3">
      <c r="F181" s="39"/>
      <c r="G181" s="39"/>
      <c r="H181" s="40"/>
    </row>
    <row r="182" spans="6:8" ht="14.25" customHeight="1" x14ac:dyDescent="0.3">
      <c r="F182" s="39"/>
      <c r="G182" s="39"/>
      <c r="H182" s="40"/>
    </row>
    <row r="183" spans="6:8" ht="14.25" customHeight="1" x14ac:dyDescent="0.3">
      <c r="F183" s="39"/>
      <c r="G183" s="39"/>
      <c r="H183" s="40"/>
    </row>
    <row r="184" spans="6:8" ht="14.25" customHeight="1" x14ac:dyDescent="0.3">
      <c r="F184" s="39"/>
      <c r="G184" s="39"/>
      <c r="H184" s="40"/>
    </row>
    <row r="185" spans="6:8" ht="14.25" customHeight="1" x14ac:dyDescent="0.3">
      <c r="F185" s="39"/>
      <c r="G185" s="39"/>
      <c r="H185" s="40"/>
    </row>
    <row r="186" spans="6:8" ht="14.25" customHeight="1" x14ac:dyDescent="0.3">
      <c r="F186" s="39"/>
      <c r="G186" s="39"/>
      <c r="H186" s="40"/>
    </row>
    <row r="187" spans="6:8" ht="14.25" customHeight="1" x14ac:dyDescent="0.3">
      <c r="F187" s="39"/>
      <c r="G187" s="39"/>
      <c r="H187" s="40"/>
    </row>
    <row r="188" spans="6:8" ht="14.25" customHeight="1" x14ac:dyDescent="0.3">
      <c r="F188" s="39"/>
      <c r="G188" s="39"/>
      <c r="H188" s="40"/>
    </row>
    <row r="189" spans="6:8" ht="14.25" customHeight="1" x14ac:dyDescent="0.3">
      <c r="F189" s="39"/>
      <c r="G189" s="39"/>
      <c r="H189" s="40"/>
    </row>
    <row r="190" spans="6:8" ht="14.25" customHeight="1" x14ac:dyDescent="0.3">
      <c r="F190" s="39"/>
      <c r="G190" s="39"/>
      <c r="H190" s="40"/>
    </row>
    <row r="191" spans="6:8" ht="14.25" customHeight="1" x14ac:dyDescent="0.3">
      <c r="F191" s="39"/>
      <c r="G191" s="39"/>
      <c r="H191" s="40"/>
    </row>
    <row r="192" spans="6:8" ht="14.25" customHeight="1" x14ac:dyDescent="0.3">
      <c r="F192" s="39"/>
      <c r="G192" s="39"/>
      <c r="H192" s="40"/>
    </row>
    <row r="193" spans="6:8" ht="14.25" customHeight="1" x14ac:dyDescent="0.3">
      <c r="F193" s="39"/>
      <c r="G193" s="39"/>
      <c r="H193" s="40"/>
    </row>
    <row r="194" spans="6:8" ht="14.25" customHeight="1" x14ac:dyDescent="0.3">
      <c r="F194" s="39"/>
      <c r="G194" s="39"/>
      <c r="H194" s="40"/>
    </row>
    <row r="195" spans="6:8" ht="14.25" customHeight="1" x14ac:dyDescent="0.3">
      <c r="F195" s="39"/>
      <c r="G195" s="39"/>
      <c r="H195" s="40"/>
    </row>
    <row r="196" spans="6:8" ht="14.25" customHeight="1" x14ac:dyDescent="0.3">
      <c r="F196" s="39"/>
      <c r="G196" s="39"/>
      <c r="H196" s="40"/>
    </row>
    <row r="197" spans="6:8" ht="14.25" customHeight="1" x14ac:dyDescent="0.3">
      <c r="F197" s="39"/>
      <c r="G197" s="39"/>
      <c r="H197" s="40"/>
    </row>
    <row r="198" spans="6:8" ht="14.25" customHeight="1" x14ac:dyDescent="0.3">
      <c r="F198" s="39"/>
      <c r="G198" s="39"/>
      <c r="H198" s="40"/>
    </row>
    <row r="199" spans="6:8" ht="14.25" customHeight="1" x14ac:dyDescent="0.3">
      <c r="F199" s="39"/>
      <c r="G199" s="39"/>
      <c r="H199" s="40"/>
    </row>
    <row r="200" spans="6:8" ht="14.25" customHeight="1" x14ac:dyDescent="0.3">
      <c r="F200" s="39"/>
      <c r="G200" s="39"/>
      <c r="H200" s="40"/>
    </row>
    <row r="201" spans="6:8" ht="14.25" customHeight="1" x14ac:dyDescent="0.3">
      <c r="F201" s="39"/>
      <c r="G201" s="39"/>
      <c r="H201" s="40"/>
    </row>
    <row r="202" spans="6:8" ht="13.5" customHeight="1" x14ac:dyDescent="0.3">
      <c r="H202" s="40"/>
    </row>
    <row r="203" spans="6:8" ht="13.5" customHeight="1" x14ac:dyDescent="0.3">
      <c r="H203" s="40"/>
    </row>
    <row r="204" spans="6:8" ht="13.5" customHeight="1" x14ac:dyDescent="0.3">
      <c r="H204" s="40"/>
    </row>
    <row r="205" spans="6:8" ht="13.5" customHeight="1" x14ac:dyDescent="0.3">
      <c r="H205" s="40"/>
    </row>
    <row r="206" spans="6:8" ht="13.5" customHeight="1" x14ac:dyDescent="0.3">
      <c r="H206" s="40"/>
    </row>
    <row r="207" spans="6:8" ht="13.5" customHeight="1" x14ac:dyDescent="0.3">
      <c r="H207" s="40"/>
    </row>
    <row r="208" spans="6:8" ht="13.5" customHeight="1" x14ac:dyDescent="0.3">
      <c r="H208" s="40"/>
    </row>
    <row r="209" spans="8:8" ht="13.5" customHeight="1" x14ac:dyDescent="0.3">
      <c r="H209" s="40"/>
    </row>
    <row r="210" spans="8:8" ht="13.5" customHeight="1" x14ac:dyDescent="0.3">
      <c r="H210" s="40"/>
    </row>
    <row r="211" spans="8:8" ht="13.5" customHeight="1" x14ac:dyDescent="0.3">
      <c r="H211" s="40"/>
    </row>
    <row r="212" spans="8:8" ht="13.5" customHeight="1" x14ac:dyDescent="0.3">
      <c r="H212" s="40"/>
    </row>
    <row r="213" spans="8:8" ht="13.5" customHeight="1" x14ac:dyDescent="0.3">
      <c r="H213" s="40"/>
    </row>
    <row r="214" spans="8:8" ht="13.5" customHeight="1" x14ac:dyDescent="0.3">
      <c r="H214" s="40"/>
    </row>
    <row r="215" spans="8:8" ht="13.5" customHeight="1" x14ac:dyDescent="0.3">
      <c r="H215" s="40"/>
    </row>
    <row r="216" spans="8:8" ht="13.5" customHeight="1" x14ac:dyDescent="0.3">
      <c r="H216" s="40"/>
    </row>
    <row r="217" spans="8:8" ht="13.5" customHeight="1" x14ac:dyDescent="0.3">
      <c r="H217" s="40"/>
    </row>
    <row r="218" spans="8:8" ht="13.5" customHeight="1" x14ac:dyDescent="0.3">
      <c r="H218" s="40"/>
    </row>
    <row r="219" spans="8:8" ht="13.5" customHeight="1" x14ac:dyDescent="0.3">
      <c r="H219" s="40"/>
    </row>
    <row r="220" spans="8:8" ht="13.5" customHeight="1" x14ac:dyDescent="0.3">
      <c r="H220" s="40"/>
    </row>
    <row r="221" spans="8:8" ht="13.5" customHeight="1" x14ac:dyDescent="0.3">
      <c r="H221" s="40"/>
    </row>
    <row r="222" spans="8:8" ht="12" customHeight="1" x14ac:dyDescent="0.25"/>
    <row r="223" spans="8:8" ht="12" customHeight="1" x14ac:dyDescent="0.25"/>
    <row r="224" spans="8:8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3">
    <mergeCell ref="B6:C6"/>
    <mergeCell ref="B1:N1"/>
    <mergeCell ref="B12:C14"/>
  </mergeCells>
  <conditionalFormatting sqref="I7:I8">
    <cfRule type="cellIs" dxfId="5" priority="6" operator="lessThan">
      <formula>5</formula>
    </cfRule>
  </conditionalFormatting>
  <conditionalFormatting sqref="I12:I13">
    <cfRule type="cellIs" dxfId="4" priority="4" operator="lessThan">
      <formula>5</formula>
    </cfRule>
  </conditionalFormatting>
  <conditionalFormatting sqref="I18">
    <cfRule type="cellIs" dxfId="3" priority="1" operator="lessThan">
      <formula>5</formula>
    </cfRule>
  </conditionalFormatting>
  <conditionalFormatting sqref="N7:N8">
    <cfRule type="cellIs" dxfId="2" priority="5" operator="lessThan">
      <formula>5</formula>
    </cfRule>
  </conditionalFormatting>
  <conditionalFormatting sqref="N12:N13">
    <cfRule type="cellIs" dxfId="1" priority="3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DIW</vt:lpstr>
      <vt:lpstr>DWEC</vt:lpstr>
      <vt:lpstr>Nota Transversales</vt:lpstr>
      <vt:lpstr>Técnicas 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Borja Saiz Bustamante</cp:lastModifiedBy>
  <dcterms:modified xsi:type="dcterms:W3CDTF">2026-10-13T17:44:18Z</dcterms:modified>
</cp:coreProperties>
</file>